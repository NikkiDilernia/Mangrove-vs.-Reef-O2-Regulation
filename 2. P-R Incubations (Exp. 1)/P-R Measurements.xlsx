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594610\OneDrive - UTS\PhD 2022\Chapter 3 (mangrove vs reef)\Writing Paper\Data files for sharing\Input files\P-R Incubations (Exp. 1)\"/>
    </mc:Choice>
  </mc:AlternateContent>
  <xr:revisionPtr revIDLastSave="1298" documentId="13_ncr:1_{29094600-718D-44EB-8781-CE8F2822AFBD}" xr6:coauthVersionLast="36" xr6:coauthVersionMax="47" xr10:uidLastSave="{5733D359-1115-4F51-A6A2-DF33B7927085}"/>
  <bookViews>
    <workbookView xWindow="0" yWindow="735" windowWidth="29400" windowHeight="17205" tabRatio="867" xr2:uid="{DA2F3D87-4DD0-47A8-93ED-2FEB86236C8C}"/>
  </bookViews>
  <sheets>
    <sheet name="M-R (Mangrove to Reef)" sheetId="4" r:id="rId1"/>
    <sheet name="WM (Wild Mangrove)" sheetId="1" r:id="rId2"/>
    <sheet name="R-R (Reef to Reef)" sheetId="5" r:id="rId3"/>
    <sheet name="WR (Wild Reef)" sheetId="3" r:id="rId4"/>
    <sheet name="PN (Light)" sheetId="8" r:id="rId5"/>
    <sheet name="R (Dark)" sheetId="9" r:id="rId6"/>
    <sheet name="PG" sheetId="11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1" l="1"/>
  <c r="I5" i="11"/>
  <c r="I4" i="11"/>
  <c r="I3" i="11"/>
  <c r="D32" i="11" l="1"/>
  <c r="E32" i="11" s="1"/>
  <c r="D31" i="11"/>
  <c r="E31" i="11" s="1"/>
  <c r="D30" i="11"/>
  <c r="E30" i="11" s="1"/>
  <c r="D29" i="11"/>
  <c r="E29" i="11" s="1"/>
  <c r="D28" i="11"/>
  <c r="E28" i="11" s="1"/>
  <c r="D27" i="11"/>
  <c r="D24" i="11"/>
  <c r="E24" i="11" s="1"/>
  <c r="D23" i="11"/>
  <c r="E23" i="11" s="1"/>
  <c r="D22" i="11"/>
  <c r="E22" i="11" s="1"/>
  <c r="D21" i="11"/>
  <c r="E21" i="11" s="1"/>
  <c r="D20" i="11"/>
  <c r="E20" i="11" s="1"/>
  <c r="D19" i="11"/>
  <c r="D16" i="11"/>
  <c r="E16" i="11" s="1"/>
  <c r="D15" i="11"/>
  <c r="E15" i="11" s="1"/>
  <c r="D14" i="11"/>
  <c r="E14" i="11" s="1"/>
  <c r="D13" i="11"/>
  <c r="E13" i="11" s="1"/>
  <c r="D12" i="11"/>
  <c r="E12" i="11" s="1"/>
  <c r="D11" i="11"/>
  <c r="D4" i="11"/>
  <c r="E4" i="11" s="1"/>
  <c r="D5" i="11"/>
  <c r="E5" i="11" s="1"/>
  <c r="D6" i="11"/>
  <c r="E6" i="11" s="1"/>
  <c r="D7" i="11"/>
  <c r="D8" i="11"/>
  <c r="E8" i="11" s="1"/>
  <c r="D3" i="11"/>
  <c r="E3" i="11" s="1"/>
  <c r="C33" i="11"/>
  <c r="B33" i="11"/>
  <c r="C25" i="11"/>
  <c r="B25" i="11"/>
  <c r="C17" i="11"/>
  <c r="B17" i="11"/>
  <c r="C9" i="11"/>
  <c r="B9" i="11"/>
  <c r="D9" i="11" l="1"/>
  <c r="D33" i="11"/>
  <c r="E7" i="11"/>
  <c r="E9" i="11" s="1"/>
  <c r="E27" i="11"/>
  <c r="D25" i="11"/>
  <c r="E19" i="11"/>
  <c r="E25" i="11" s="1"/>
  <c r="D17" i="11"/>
  <c r="E11" i="11"/>
  <c r="E33" i="11"/>
  <c r="E17" i="11" l="1"/>
  <c r="K33" i="9"/>
  <c r="J33" i="9"/>
  <c r="H33" i="9"/>
  <c r="F33" i="9"/>
  <c r="K32" i="9"/>
  <c r="J32" i="9"/>
  <c r="H32" i="9"/>
  <c r="F32" i="9"/>
  <c r="K31" i="9"/>
  <c r="J31" i="9"/>
  <c r="H31" i="9"/>
  <c r="F31" i="9"/>
  <c r="K30" i="9"/>
  <c r="J30" i="9"/>
  <c r="H30" i="9"/>
  <c r="F30" i="9"/>
  <c r="K29" i="9"/>
  <c r="J29" i="9"/>
  <c r="H29" i="9"/>
  <c r="F29" i="9"/>
  <c r="K28" i="9"/>
  <c r="J28" i="9"/>
  <c r="H28" i="9"/>
  <c r="F28" i="9"/>
  <c r="K27" i="9"/>
  <c r="J27" i="9"/>
  <c r="H27" i="9"/>
  <c r="F27" i="9"/>
  <c r="K25" i="9"/>
  <c r="J25" i="9"/>
  <c r="H25" i="9"/>
  <c r="F25" i="9"/>
  <c r="K24" i="9"/>
  <c r="J24" i="9"/>
  <c r="H24" i="9"/>
  <c r="F24" i="9"/>
  <c r="K23" i="9"/>
  <c r="J23" i="9"/>
  <c r="H23" i="9"/>
  <c r="F23" i="9"/>
  <c r="K22" i="9"/>
  <c r="J22" i="9"/>
  <c r="H22" i="9"/>
  <c r="F22" i="9"/>
  <c r="K21" i="9"/>
  <c r="J21" i="9"/>
  <c r="H21" i="9"/>
  <c r="F21" i="9"/>
  <c r="K20" i="9"/>
  <c r="J20" i="9"/>
  <c r="H20" i="9"/>
  <c r="F20" i="9"/>
  <c r="K19" i="9"/>
  <c r="J19" i="9"/>
  <c r="H19" i="9"/>
  <c r="F19" i="9"/>
  <c r="K17" i="9"/>
  <c r="J17" i="9"/>
  <c r="H17" i="9"/>
  <c r="F17" i="9"/>
  <c r="K16" i="9"/>
  <c r="J16" i="9"/>
  <c r="H16" i="9"/>
  <c r="F16" i="9"/>
  <c r="K15" i="9"/>
  <c r="J15" i="9"/>
  <c r="H15" i="9"/>
  <c r="F15" i="9"/>
  <c r="K14" i="9"/>
  <c r="L14" i="9" s="1"/>
  <c r="J14" i="9"/>
  <c r="H14" i="9"/>
  <c r="F14" i="9"/>
  <c r="K13" i="9"/>
  <c r="J13" i="9"/>
  <c r="H13" i="9"/>
  <c r="F13" i="9"/>
  <c r="K12" i="9"/>
  <c r="J12" i="9"/>
  <c r="H12" i="9"/>
  <c r="F12" i="9"/>
  <c r="K11" i="9"/>
  <c r="L11" i="9" s="1"/>
  <c r="J11" i="9"/>
  <c r="H11" i="9"/>
  <c r="F11" i="9"/>
  <c r="K9" i="9"/>
  <c r="J9" i="9"/>
  <c r="H9" i="9"/>
  <c r="F9" i="9"/>
  <c r="K8" i="9"/>
  <c r="J8" i="9"/>
  <c r="H8" i="9"/>
  <c r="F8" i="9"/>
  <c r="K7" i="9"/>
  <c r="J7" i="9"/>
  <c r="H7" i="9"/>
  <c r="F7" i="9"/>
  <c r="K6" i="9"/>
  <c r="J6" i="9"/>
  <c r="H6" i="9"/>
  <c r="F6" i="9"/>
  <c r="K5" i="9"/>
  <c r="J5" i="9"/>
  <c r="H5" i="9"/>
  <c r="F5" i="9"/>
  <c r="K4" i="9"/>
  <c r="J4" i="9"/>
  <c r="H4" i="9"/>
  <c r="F4" i="9"/>
  <c r="K3" i="9"/>
  <c r="J3" i="9"/>
  <c r="H3" i="9"/>
  <c r="F3" i="9"/>
  <c r="L19" i="9" l="1"/>
  <c r="M19" i="9" s="1"/>
  <c r="N19" i="9" s="1"/>
  <c r="L30" i="9"/>
  <c r="M30" i="9" s="1"/>
  <c r="N30" i="9" s="1"/>
  <c r="L27" i="9"/>
  <c r="M27" i="9" s="1"/>
  <c r="N27" i="9" s="1"/>
  <c r="L28" i="9"/>
  <c r="M28" i="9" s="1"/>
  <c r="N28" i="9" s="1"/>
  <c r="L31" i="9"/>
  <c r="M31" i="9" s="1"/>
  <c r="N31" i="9" s="1"/>
  <c r="L22" i="9"/>
  <c r="M22" i="9" s="1"/>
  <c r="N22" i="9" s="1"/>
  <c r="L15" i="9"/>
  <c r="M15" i="9" s="1"/>
  <c r="N15" i="9" s="1"/>
  <c r="L12" i="9"/>
  <c r="M12" i="9" s="1"/>
  <c r="N12" i="9" s="1"/>
  <c r="L13" i="9"/>
  <c r="M13" i="9" s="1"/>
  <c r="N13" i="9" s="1"/>
  <c r="L16" i="9"/>
  <c r="M16" i="9" s="1"/>
  <c r="N16" i="9" s="1"/>
  <c r="L29" i="9"/>
  <c r="M29" i="9" s="1"/>
  <c r="N29" i="9" s="1"/>
  <c r="L32" i="9"/>
  <c r="M32" i="9" s="1"/>
  <c r="N32" i="9" s="1"/>
  <c r="L23" i="9"/>
  <c r="M23" i="9" s="1"/>
  <c r="N23" i="9" s="1"/>
  <c r="L20" i="9"/>
  <c r="M20" i="9" s="1"/>
  <c r="N20" i="9" s="1"/>
  <c r="L24" i="9"/>
  <c r="M24" i="9" s="1"/>
  <c r="N24" i="9" s="1"/>
  <c r="L21" i="9"/>
  <c r="M21" i="9" s="1"/>
  <c r="N21" i="9" s="1"/>
  <c r="M11" i="9"/>
  <c r="N11" i="9" s="1"/>
  <c r="M14" i="9"/>
  <c r="N14" i="9" s="1"/>
  <c r="L3" i="9"/>
  <c r="M3" i="9" s="1"/>
  <c r="N3" i="9" s="1"/>
  <c r="L6" i="9"/>
  <c r="M6" i="9" s="1"/>
  <c r="N6" i="9" s="1"/>
  <c r="L4" i="9"/>
  <c r="M4" i="9" s="1"/>
  <c r="N4" i="9" s="1"/>
  <c r="L5" i="9"/>
  <c r="M5" i="9" s="1"/>
  <c r="N5" i="9" s="1"/>
  <c r="L7" i="9"/>
  <c r="M7" i="9" s="1"/>
  <c r="N7" i="9" s="1"/>
  <c r="L8" i="9"/>
  <c r="M8" i="9" s="1"/>
  <c r="N8" i="9" s="1"/>
  <c r="K8" i="8"/>
  <c r="K33" i="8"/>
  <c r="J33" i="8"/>
  <c r="H33" i="8"/>
  <c r="F33" i="8"/>
  <c r="K32" i="8"/>
  <c r="J32" i="8"/>
  <c r="H32" i="8"/>
  <c r="F32" i="8"/>
  <c r="K31" i="8"/>
  <c r="J31" i="8"/>
  <c r="H31" i="8"/>
  <c r="F31" i="8"/>
  <c r="K30" i="8"/>
  <c r="J30" i="8"/>
  <c r="H30" i="8"/>
  <c r="F30" i="8"/>
  <c r="K29" i="8"/>
  <c r="J29" i="8"/>
  <c r="H29" i="8"/>
  <c r="F29" i="8"/>
  <c r="K28" i="8"/>
  <c r="J28" i="8"/>
  <c r="H28" i="8"/>
  <c r="F28" i="8"/>
  <c r="K27" i="8"/>
  <c r="J27" i="8"/>
  <c r="H27" i="8"/>
  <c r="F27" i="8"/>
  <c r="K25" i="8"/>
  <c r="J25" i="8"/>
  <c r="H25" i="8"/>
  <c r="F25" i="8"/>
  <c r="K24" i="8"/>
  <c r="J24" i="8"/>
  <c r="H24" i="8"/>
  <c r="F24" i="8"/>
  <c r="K23" i="8"/>
  <c r="J23" i="8"/>
  <c r="H23" i="8"/>
  <c r="F23" i="8"/>
  <c r="K22" i="8"/>
  <c r="J22" i="8"/>
  <c r="H22" i="8"/>
  <c r="F22" i="8"/>
  <c r="K21" i="8"/>
  <c r="J21" i="8"/>
  <c r="H21" i="8"/>
  <c r="F21" i="8"/>
  <c r="K20" i="8"/>
  <c r="J20" i="8"/>
  <c r="H20" i="8"/>
  <c r="F20" i="8"/>
  <c r="K19" i="8"/>
  <c r="L19" i="8" s="1"/>
  <c r="J19" i="8"/>
  <c r="H19" i="8"/>
  <c r="F19" i="8"/>
  <c r="F16" i="8"/>
  <c r="K16" i="8"/>
  <c r="J16" i="8"/>
  <c r="H16" i="8"/>
  <c r="J8" i="8"/>
  <c r="H8" i="8"/>
  <c r="L27" i="8" l="1"/>
  <c r="L29" i="8"/>
  <c r="L32" i="8"/>
  <c r="R11" i="9"/>
  <c r="R9" i="9"/>
  <c r="R12" i="9"/>
  <c r="R10" i="9"/>
  <c r="S6" i="9"/>
  <c r="T6" i="9" s="1"/>
  <c r="R6" i="9"/>
  <c r="S5" i="9"/>
  <c r="T5" i="9" s="1"/>
  <c r="R5" i="9"/>
  <c r="S4" i="9"/>
  <c r="T4" i="9" s="1"/>
  <c r="R4" i="9"/>
  <c r="S3" i="9"/>
  <c r="T3" i="9" s="1"/>
  <c r="R3" i="9"/>
  <c r="L30" i="8"/>
  <c r="L22" i="8"/>
  <c r="L23" i="8"/>
  <c r="L21" i="8"/>
  <c r="L24" i="8"/>
  <c r="L28" i="8"/>
  <c r="L31" i="8"/>
  <c r="L20" i="8"/>
  <c r="F8" i="8"/>
  <c r="K17" i="8"/>
  <c r="L16" i="8" s="1"/>
  <c r="J17" i="8"/>
  <c r="H17" i="8"/>
  <c r="F17" i="8"/>
  <c r="K15" i="8"/>
  <c r="J15" i="8"/>
  <c r="H15" i="8"/>
  <c r="F15" i="8"/>
  <c r="K14" i="8"/>
  <c r="J14" i="8"/>
  <c r="H14" i="8"/>
  <c r="F14" i="8"/>
  <c r="K13" i="8"/>
  <c r="J13" i="8"/>
  <c r="H13" i="8"/>
  <c r="F13" i="8"/>
  <c r="K12" i="8"/>
  <c r="J12" i="8"/>
  <c r="H12" i="8"/>
  <c r="F12" i="8"/>
  <c r="K11" i="8"/>
  <c r="J11" i="8"/>
  <c r="H11" i="8"/>
  <c r="F11" i="8"/>
  <c r="L12" i="8" l="1"/>
  <c r="L13" i="8"/>
  <c r="L15" i="8"/>
  <c r="L11" i="8"/>
  <c r="L14" i="8"/>
  <c r="K9" i="8" l="1"/>
  <c r="L8" i="8" s="1"/>
  <c r="J9" i="8"/>
  <c r="H9" i="8"/>
  <c r="F9" i="8"/>
  <c r="K7" i="8"/>
  <c r="J7" i="8"/>
  <c r="H7" i="8"/>
  <c r="F7" i="8"/>
  <c r="K6" i="8"/>
  <c r="J6" i="8"/>
  <c r="H6" i="8"/>
  <c r="F6" i="8"/>
  <c r="K5" i="8"/>
  <c r="L5" i="8" s="1"/>
  <c r="J5" i="8"/>
  <c r="H5" i="8"/>
  <c r="F5" i="8"/>
  <c r="K4" i="8"/>
  <c r="J4" i="8"/>
  <c r="H4" i="8"/>
  <c r="F4" i="8"/>
  <c r="K3" i="8"/>
  <c r="L3" i="8" s="1"/>
  <c r="J3" i="8"/>
  <c r="H3" i="8"/>
  <c r="F3" i="8"/>
  <c r="L6" i="8" l="1"/>
  <c r="L4" i="8"/>
  <c r="M4" i="8" s="1"/>
  <c r="L7" i="8"/>
  <c r="M7" i="8" s="1"/>
  <c r="M16" i="8"/>
  <c r="M27" i="8"/>
  <c r="M8" i="8"/>
  <c r="M30" i="8"/>
  <c r="M22" i="8"/>
  <c r="M20" i="8"/>
  <c r="M21" i="8"/>
  <c r="M28" i="8"/>
  <c r="M24" i="8"/>
  <c r="M29" i="8"/>
  <c r="M31" i="8"/>
  <c r="M19" i="8"/>
  <c r="M32" i="8"/>
  <c r="M23" i="8"/>
  <c r="M11" i="8"/>
  <c r="M12" i="8"/>
  <c r="M14" i="8"/>
  <c r="M15" i="8"/>
  <c r="M13" i="8"/>
  <c r="M5" i="8"/>
  <c r="M6" i="8"/>
  <c r="M3" i="8"/>
  <c r="R5" i="8" l="1"/>
  <c r="S5" i="8" s="1"/>
  <c r="Q5" i="8"/>
  <c r="Q4" i="8"/>
  <c r="R4" i="8"/>
  <c r="S4" i="8" s="1"/>
  <c r="R6" i="8"/>
  <c r="S6" i="8" s="1"/>
  <c r="Q6" i="8"/>
  <c r="R3" i="8"/>
  <c r="S3" i="8" s="1"/>
  <c r="Q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Nicole J. Dilernia</author>
  </authors>
  <commentList>
    <comment ref="B1" authorId="0" shapeId="0" xr:uid="{FA0C3C20-14A4-487D-A4F6-920CC877383C}">
      <text>
        <r>
          <rPr>
            <b/>
            <sz val="9"/>
            <color indexed="81"/>
            <rFont val="Tahoma"/>
            <family val="2"/>
          </rPr>
          <t>Nicole J. Dilernia:</t>
        </r>
        <r>
          <rPr>
            <sz val="9"/>
            <color indexed="81"/>
            <rFont val="Tahoma"/>
            <family val="2"/>
          </rPr>
          <t xml:space="preserve">
calculated from water displacement measurements</t>
        </r>
      </text>
    </comment>
    <comment ref="C1" authorId="0" shapeId="0" xr:uid="{4429F629-48CF-4410-BC6C-CBDFB532DBF0}">
      <text>
        <r>
          <rPr>
            <b/>
            <sz val="9"/>
            <color indexed="81"/>
            <rFont val="Tahoma"/>
            <family val="2"/>
          </rPr>
          <t>Nicole J. Dilernia:</t>
        </r>
        <r>
          <rPr>
            <sz val="9"/>
            <color indexed="81"/>
            <rFont val="Tahoma"/>
            <family val="2"/>
          </rPr>
          <t xml:space="preserve">
calculated from wax dipping</t>
        </r>
      </text>
    </comment>
    <comment ref="D1" authorId="0" shapeId="0" xr:uid="{65D3F2FF-FB4F-4A5E-9FCC-CD70413CB34E}">
      <text>
        <r>
          <rPr>
            <b/>
            <sz val="9"/>
            <color indexed="81"/>
            <rFont val="Tahoma"/>
            <family val="2"/>
          </rPr>
          <t>Nicole J. Dilernia:</t>
        </r>
        <r>
          <rPr>
            <sz val="9"/>
            <color indexed="81"/>
            <rFont val="Tahoma"/>
            <family val="2"/>
          </rPr>
          <t xml:space="preserve">
Light start</t>
        </r>
      </text>
    </comment>
    <comment ref="E1" authorId="0" shapeId="0" xr:uid="{6D4F7F04-AD08-4622-8D6A-D97B056F0717}">
      <text>
        <r>
          <rPr>
            <b/>
            <sz val="9"/>
            <color indexed="81"/>
            <rFont val="Tahoma"/>
            <family val="2"/>
          </rPr>
          <t>Nicole J. Dilernia:</t>
        </r>
        <r>
          <rPr>
            <sz val="9"/>
            <color indexed="81"/>
            <rFont val="Tahoma"/>
            <family val="2"/>
          </rPr>
          <t xml:space="preserve">
Light end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Nicole J. Dilernia</author>
  </authors>
  <commentList>
    <comment ref="B1" authorId="0" shapeId="0" xr:uid="{5CDCE75E-CCF1-48F0-8FEA-FCAB5F4AA008}">
      <text>
        <r>
          <rPr>
            <b/>
            <sz val="9"/>
            <color indexed="81"/>
            <rFont val="Tahoma"/>
            <family val="2"/>
          </rPr>
          <t>Nicole J. Dilernia:</t>
        </r>
        <r>
          <rPr>
            <sz val="9"/>
            <color indexed="81"/>
            <rFont val="Tahoma"/>
            <family val="2"/>
          </rPr>
          <t xml:space="preserve">
calculated from water displacement measurements</t>
        </r>
      </text>
    </comment>
    <comment ref="C1" authorId="0" shapeId="0" xr:uid="{BC76B6EC-6D4B-4F0D-AC83-FDC34A0F7273}">
      <text>
        <r>
          <rPr>
            <b/>
            <sz val="9"/>
            <color indexed="81"/>
            <rFont val="Tahoma"/>
            <family val="2"/>
          </rPr>
          <t>Nicole J. Dilernia:</t>
        </r>
        <r>
          <rPr>
            <sz val="9"/>
            <color indexed="81"/>
            <rFont val="Tahoma"/>
            <family val="2"/>
          </rPr>
          <t xml:space="preserve">
calculated from wax dipping</t>
        </r>
      </text>
    </comment>
    <comment ref="D1" authorId="0" shapeId="0" xr:uid="{B6854E46-A8BB-450D-BB14-F1F0E43B01F8}">
      <text>
        <r>
          <rPr>
            <b/>
            <sz val="9"/>
            <color indexed="81"/>
            <rFont val="Tahoma"/>
            <family val="2"/>
          </rPr>
          <t>Nicole J. Dilernia:</t>
        </r>
        <r>
          <rPr>
            <sz val="9"/>
            <color indexed="81"/>
            <rFont val="Tahoma"/>
            <family val="2"/>
          </rPr>
          <t xml:space="preserve">
Dark start time</t>
        </r>
      </text>
    </comment>
    <comment ref="E1" authorId="0" shapeId="0" xr:uid="{3B3765EE-1105-4147-95EC-8443F03DC72A}">
      <text>
        <r>
          <rPr>
            <b/>
            <sz val="9"/>
            <color indexed="81"/>
            <rFont val="Tahoma"/>
            <family val="2"/>
          </rPr>
          <t>Nicole J. Dilernia:</t>
        </r>
        <r>
          <rPr>
            <sz val="9"/>
            <color indexed="81"/>
            <rFont val="Tahoma"/>
            <family val="2"/>
          </rPr>
          <t xml:space="preserve">
Dark end time</t>
        </r>
      </text>
    </comment>
  </commentList>
</comments>
</file>

<file path=xl/sharedStrings.xml><?xml version="1.0" encoding="utf-8"?>
<sst xmlns="http://schemas.openxmlformats.org/spreadsheetml/2006/main" count="264" uniqueCount="78">
  <si>
    <t>O2 measurements (% air sat)</t>
  </si>
  <si>
    <t>Dark Start</t>
  </si>
  <si>
    <t>Dark End</t>
  </si>
  <si>
    <t>Light Start</t>
  </si>
  <si>
    <t>Light End</t>
  </si>
  <si>
    <t>Control</t>
  </si>
  <si>
    <t>Light start</t>
  </si>
  <si>
    <t>Wild Mangrove</t>
  </si>
  <si>
    <t>Wild Reef</t>
  </si>
  <si>
    <t>Mangrove-Reef</t>
  </si>
  <si>
    <t>Reef-Reef</t>
  </si>
  <si>
    <t>Time (h)</t>
  </si>
  <si>
    <t>Blank Corrected</t>
  </si>
  <si>
    <t>Time in</t>
  </si>
  <si>
    <t>Time out</t>
  </si>
  <si>
    <t>Difference</t>
  </si>
  <si>
    <t>Habitat</t>
  </si>
  <si>
    <t>SD</t>
  </si>
  <si>
    <t>SE</t>
  </si>
  <si>
    <t xml:space="preserve">Wild Mangrove 1 </t>
  </si>
  <si>
    <t>Blank Control</t>
  </si>
  <si>
    <t>Volume (L)*</t>
  </si>
  <si>
    <r>
      <t>Surface Area (cm</t>
    </r>
    <r>
      <rPr>
        <b/>
        <vertAlign val="superscript"/>
        <sz val="12"/>
        <color theme="0"/>
        <rFont val="Calibri"/>
        <family val="2"/>
        <scheme val="minor"/>
      </rPr>
      <t>2</t>
    </r>
    <r>
      <rPr>
        <b/>
        <sz val="12"/>
        <color theme="0"/>
        <rFont val="Calibri"/>
        <family val="2"/>
        <scheme val="minor"/>
      </rPr>
      <t>)</t>
    </r>
  </si>
  <si>
    <t>mg/L</t>
  </si>
  <si>
    <t>(mg/L)</t>
  </si>
  <si>
    <t>O2 converted to umol/L</t>
  </si>
  <si>
    <t>Light</t>
  </si>
  <si>
    <t>NA</t>
  </si>
  <si>
    <t>SA Standardized</t>
  </si>
  <si>
    <t xml:space="preserve">Average </t>
  </si>
  <si>
    <t xml:space="preserve">Wild Mangrove 2 </t>
  </si>
  <si>
    <t xml:space="preserve">Wild Mangrove 3 </t>
  </si>
  <si>
    <t xml:space="preserve">Wild Mangrove 4 </t>
  </si>
  <si>
    <t xml:space="preserve">Wild Mangrove 5 </t>
  </si>
  <si>
    <t xml:space="preserve">Wild Mangrove 6 </t>
  </si>
  <si>
    <t xml:space="preserve">Wild Reef 1 </t>
  </si>
  <si>
    <t xml:space="preserve">Wild Reef 2 </t>
  </si>
  <si>
    <t xml:space="preserve">Wild Reef 3 </t>
  </si>
  <si>
    <t xml:space="preserve">Wild Reef 4 </t>
  </si>
  <si>
    <t xml:space="preserve">Wild Reef 5 </t>
  </si>
  <si>
    <t xml:space="preserve">Wild Reef 6 </t>
  </si>
  <si>
    <t xml:space="preserve">Mangrove-Reef 1 </t>
  </si>
  <si>
    <t xml:space="preserve">Mangrove-Reef 2 </t>
  </si>
  <si>
    <t xml:space="preserve">Mangrove-Reef 3 </t>
  </si>
  <si>
    <t xml:space="preserve">Mangrove-Reef 4 </t>
  </si>
  <si>
    <t xml:space="preserve">Mangrove-Reef 5 </t>
  </si>
  <si>
    <t xml:space="preserve">Mangrove-Reef 6 </t>
  </si>
  <si>
    <t xml:space="preserve">Reef-Reef 1 </t>
  </si>
  <si>
    <t xml:space="preserve">Reef-Reef 2 </t>
  </si>
  <si>
    <t xml:space="preserve">Reef-Reef 3 </t>
  </si>
  <si>
    <t xml:space="preserve">Reef-Reef 4 </t>
  </si>
  <si>
    <t xml:space="preserve">Reef-Reef 5 </t>
  </si>
  <si>
    <t xml:space="preserve">Reef-Reef 6 </t>
  </si>
  <si>
    <t xml:space="preserve">PD Feb 23 Sample </t>
  </si>
  <si>
    <t>Units O2: μmol/L</t>
  </si>
  <si>
    <r>
      <t>μmol cm</t>
    </r>
    <r>
      <rPr>
        <b/>
        <vertAlign val="superscript"/>
        <sz val="12"/>
        <color theme="0"/>
        <rFont val="Calibri"/>
        <family val="2"/>
        <scheme val="minor"/>
      </rPr>
      <t>-2</t>
    </r>
    <r>
      <rPr>
        <b/>
        <sz val="12"/>
        <color theme="0"/>
        <rFont val="Calibri"/>
        <family val="2"/>
        <scheme val="minor"/>
      </rPr>
      <t xml:space="preserve"> h</t>
    </r>
    <r>
      <rPr>
        <b/>
        <vertAlign val="superscript"/>
        <sz val="12"/>
        <color theme="0"/>
        <rFont val="Calibri"/>
        <family val="2"/>
        <scheme val="minor"/>
      </rPr>
      <t>-1</t>
    </r>
  </si>
  <si>
    <r>
      <t>(μmol cm</t>
    </r>
    <r>
      <rPr>
        <vertAlign val="superscript"/>
        <sz val="11"/>
        <color theme="1"/>
        <rFont val="Calibri (Body)"/>
      </rPr>
      <t>-2</t>
    </r>
    <r>
      <rPr>
        <sz val="11"/>
        <color theme="1"/>
        <rFont val="Calibri"/>
        <family val="2"/>
        <scheme val="minor"/>
      </rPr>
      <t xml:space="preserve"> h</t>
    </r>
    <r>
      <rPr>
        <vertAlign val="superscript"/>
        <sz val="11"/>
        <color theme="1"/>
        <rFont val="Calibri (Body)"/>
      </rPr>
      <t>-1</t>
    </r>
    <r>
      <rPr>
        <sz val="11"/>
        <color theme="1"/>
        <rFont val="Calibri"/>
        <family val="2"/>
        <scheme val="minor"/>
      </rPr>
      <t>)</t>
    </r>
  </si>
  <si>
    <t>Average</t>
  </si>
  <si>
    <t>R</t>
  </si>
  <si>
    <t>Dark</t>
  </si>
  <si>
    <t>(μmol cm-2 h-1)</t>
  </si>
  <si>
    <t>R (pos+)</t>
  </si>
  <si>
    <r>
      <t>P</t>
    </r>
    <r>
      <rPr>
        <b/>
        <vertAlign val="subscript"/>
        <sz val="12"/>
        <color theme="0"/>
        <rFont val="Calibri"/>
        <family val="2"/>
        <scheme val="minor"/>
      </rPr>
      <t>N</t>
    </r>
  </si>
  <si>
    <r>
      <t>P</t>
    </r>
    <r>
      <rPr>
        <b/>
        <vertAlign val="subscript"/>
        <sz val="12"/>
        <color theme="0"/>
        <rFont val="Calibri"/>
        <family val="2"/>
        <scheme val="minor"/>
      </rPr>
      <t>G</t>
    </r>
  </si>
  <si>
    <t>R (positive +)</t>
  </si>
  <si>
    <t xml:space="preserve">R </t>
  </si>
  <si>
    <t>R+</t>
  </si>
  <si>
    <t>WM</t>
  </si>
  <si>
    <t>WR</t>
  </si>
  <si>
    <t>M-R</t>
  </si>
  <si>
    <t>R-R</t>
  </si>
  <si>
    <t>P:R Ratios</t>
  </si>
  <si>
    <r>
      <t>(&lt; 5 µmol photons m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family val="2"/>
        <scheme val="minor"/>
      </rPr>
      <t xml:space="preserve"> s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</si>
  <si>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(~ 600 µmol photons m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family val="2"/>
        <scheme val="minor"/>
      </rPr>
      <t xml:space="preserve"> s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</si>
  <si>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Rep</t>
  </si>
  <si>
    <r>
      <t>(&lt; 5 µmol photons m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family val="2"/>
        <scheme val="minor"/>
      </rPr>
      <t xml:space="preserve"> s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</si>
  <si>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(~ 600 µmol photons m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family val="2"/>
        <scheme val="minor"/>
      </rPr>
      <t xml:space="preserve"> s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</si>
  <si>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P</t>
    </r>
    <r>
      <rPr>
        <b/>
        <vertAlign val="subscript"/>
        <sz val="11"/>
        <color theme="1"/>
        <rFont val="Calibri"/>
        <family val="2"/>
        <scheme val="minor"/>
      </rPr>
      <t>G</t>
    </r>
    <r>
      <rPr>
        <b/>
        <sz val="11"/>
        <color theme="1"/>
        <rFont val="Calibri"/>
        <family val="2"/>
        <scheme val="minor"/>
      </rPr>
      <t>/R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</si>
</sst>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Verdana"/>
      <family val="2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vertAlign val="superscript"/>
      <sz val="1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vertAlign val="superscript"/>
      <sz val="11"/>
      <color theme="1"/>
      <name val="Calibri (Body)"/>
    </font>
    <font>
      <b/>
      <vertAlign val="subscript"/>
      <sz val="12"/>
      <color theme="0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5">
    <xf numFmtId="0" fontId="0" fillId="0" borderId="0" xfId="0"/>
    <xf numFmtId="20" fontId="0" fillId="0" borderId="0" xfId="0" applyNumberFormat="1"/>
    <xf numFmtId="0" fontId="1" fillId="0" borderId="0" xfId="0" applyFont="1"/>
    <xf numFmtId="2" fontId="0" fillId="0" borderId="0" xfId="0" applyNumberFormat="1"/>
    <xf numFmtId="0" fontId="1" fillId="0" borderId="2" xfId="0" applyFont="1" applyBorder="1"/>
    <xf numFmtId="0" fontId="3" fillId="0" borderId="2" xfId="0" applyFont="1" applyBorder="1"/>
    <xf numFmtId="0" fontId="3" fillId="0" borderId="5" xfId="0" applyFont="1" applyBorder="1"/>
    <xf numFmtId="2" fontId="3" fillId="0" borderId="2" xfId="0" applyNumberFormat="1" applyFont="1" applyBorder="1"/>
    <xf numFmtId="2" fontId="3" fillId="3" borderId="2" xfId="0" applyNumberFormat="1" applyFont="1" applyFill="1" applyBorder="1"/>
    <xf numFmtId="0" fontId="0" fillId="0" borderId="2" xfId="0" applyBorder="1"/>
    <xf numFmtId="2" fontId="0" fillId="0" borderId="2" xfId="0" applyNumberFormat="1" applyBorder="1"/>
    <xf numFmtId="0" fontId="3" fillId="4" borderId="2" xfId="0" applyFont="1" applyFill="1" applyBorder="1"/>
    <xf numFmtId="0" fontId="3" fillId="4" borderId="5" xfId="0" applyFont="1" applyFill="1" applyBorder="1"/>
    <xf numFmtId="0" fontId="3" fillId="5" borderId="5" xfId="0" applyFont="1" applyFill="1" applyBorder="1"/>
    <xf numFmtId="2" fontId="3" fillId="4" borderId="2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/>
    <xf numFmtId="2" fontId="6" fillId="0" borderId="0" xfId="0" applyNumberFormat="1" applyFont="1"/>
    <xf numFmtId="0" fontId="6" fillId="0" borderId="0" xfId="0" applyFont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  <xf numFmtId="0" fontId="0" fillId="10" borderId="2" xfId="0" applyFill="1" applyBorder="1"/>
    <xf numFmtId="2" fontId="0" fillId="10" borderId="2" xfId="0" applyNumberFormat="1" applyFill="1" applyBorder="1"/>
    <xf numFmtId="2" fontId="0" fillId="7" borderId="2" xfId="0" applyNumberFormat="1" applyFill="1" applyBorder="1"/>
    <xf numFmtId="2" fontId="0" fillId="8" borderId="2" xfId="0" applyNumberFormat="1" applyFill="1" applyBorder="1"/>
    <xf numFmtId="2" fontId="0" fillId="9" borderId="2" xfId="0" applyNumberFormat="1" applyFill="1" applyBorder="1"/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4" borderId="2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Font="1"/>
    <xf numFmtId="0" fontId="1" fillId="6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1" fontId="4" fillId="2" borderId="1" xfId="1" applyNumberFormat="1" applyFont="1" applyFill="1" applyBorder="1" applyAlignment="1">
      <alignment horizontal="center"/>
    </xf>
    <xf numFmtId="1" fontId="4" fillId="2" borderId="3" xfId="1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0" borderId="0" xfId="0" applyBorder="1"/>
    <xf numFmtId="0" fontId="1" fillId="6" borderId="0" xfId="0" applyFont="1" applyFill="1" applyBorder="1" applyAlignment="1">
      <alignment horizontal="left"/>
    </xf>
    <xf numFmtId="0" fontId="1" fillId="0" borderId="0" xfId="0" applyFont="1" applyBorder="1"/>
    <xf numFmtId="0" fontId="0" fillId="6" borderId="0" xfId="0" applyFill="1"/>
    <xf numFmtId="2" fontId="0" fillId="0" borderId="0" xfId="0" applyNumberFormat="1" applyBorder="1"/>
    <xf numFmtId="0" fontId="1" fillId="6" borderId="0" xfId="0" applyFont="1" applyFill="1"/>
    <xf numFmtId="0" fontId="0" fillId="6" borderId="0" xfId="0" applyFont="1" applyFill="1"/>
    <xf numFmtId="20" fontId="0" fillId="0" borderId="0" xfId="0" applyNumberFormat="1" applyFont="1"/>
    <xf numFmtId="2" fontId="0" fillId="0" borderId="0" xfId="0" applyNumberFormat="1" applyFont="1"/>
    <xf numFmtId="0" fontId="0" fillId="0" borderId="0" xfId="0" applyFont="1" applyBorder="1"/>
    <xf numFmtId="2" fontId="0" fillId="0" borderId="0" xfId="0" applyNumberFormat="1" applyFont="1" applyBorder="1"/>
    <xf numFmtId="2" fontId="3" fillId="0" borderId="5" xfId="0" applyNumberFormat="1" applyFont="1" applyBorder="1"/>
    <xf numFmtId="2" fontId="3" fillId="5" borderId="5" xfId="0" applyNumberFormat="1" applyFont="1" applyFill="1" applyBorder="1"/>
    <xf numFmtId="0" fontId="0" fillId="0" borderId="2" xfId="0" applyFill="1" applyBorder="1"/>
  </cellXfs>
  <cellStyles count="2">
    <cellStyle name="Normal" xfId="0" builtinId="0"/>
    <cellStyle name="Normal 2" xfId="1" xr:uid="{EA60CEB4-927D-4415-AF8F-4083B56B75F9}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65DC6-79D8-4D59-8309-4F002BE9836B}">
  <dimension ref="A1:H22"/>
  <sheetViews>
    <sheetView tabSelected="1" zoomScale="80" zoomScaleNormal="80" workbookViewId="0">
      <selection activeCell="D34" sqref="D34"/>
    </sheetView>
  </sheetViews>
  <sheetFormatPr defaultColWidth="8.85546875" defaultRowHeight="15"/>
  <cols>
    <col min="2" max="5" width="11.7109375" customWidth="1"/>
    <col min="6" max="6" width="11.28515625" customWidth="1"/>
    <col min="7" max="7" width="12.7109375" customWidth="1"/>
  </cols>
  <sheetData>
    <row r="1" spans="1:8">
      <c r="B1" s="46" t="s">
        <v>0</v>
      </c>
      <c r="C1" s="44"/>
      <c r="D1" s="44"/>
    </row>
    <row r="2" spans="1:8" ht="17.25">
      <c r="B2" t="s">
        <v>72</v>
      </c>
      <c r="C2" s="1"/>
      <c r="D2" s="1"/>
      <c r="E2" s="1"/>
      <c r="F2" t="s">
        <v>73</v>
      </c>
      <c r="G2" s="1"/>
    </row>
    <row r="3" spans="1:8">
      <c r="A3" s="2" t="s">
        <v>74</v>
      </c>
      <c r="B3" s="2" t="s">
        <v>1</v>
      </c>
      <c r="C3" s="2" t="s">
        <v>2</v>
      </c>
      <c r="D3" s="2"/>
      <c r="E3" s="2" t="s">
        <v>74</v>
      </c>
      <c r="F3" s="2" t="s">
        <v>6</v>
      </c>
      <c r="G3" s="2" t="s">
        <v>4</v>
      </c>
      <c r="H3" s="2"/>
    </row>
    <row r="4" spans="1:8">
      <c r="A4" s="2">
        <v>1</v>
      </c>
      <c r="B4" s="3">
        <v>100.04</v>
      </c>
      <c r="C4" s="3">
        <v>61.5</v>
      </c>
      <c r="E4" s="2">
        <v>1</v>
      </c>
      <c r="F4" s="3">
        <v>61.5</v>
      </c>
      <c r="G4" s="3">
        <v>152.6</v>
      </c>
    </row>
    <row r="5" spans="1:8">
      <c r="A5" s="2">
        <v>2</v>
      </c>
      <c r="B5" s="3">
        <v>99.78</v>
      </c>
      <c r="C5" s="3">
        <v>65.23</v>
      </c>
      <c r="E5" s="2">
        <v>2</v>
      </c>
      <c r="F5" s="3">
        <v>65.23</v>
      </c>
      <c r="G5" s="3">
        <v>135.69999999999999</v>
      </c>
    </row>
    <row r="6" spans="1:8">
      <c r="A6" s="2">
        <v>3</v>
      </c>
      <c r="B6" s="3">
        <v>99.7</v>
      </c>
      <c r="C6" s="3">
        <v>65.459999999999994</v>
      </c>
      <c r="E6" s="2">
        <v>3</v>
      </c>
      <c r="F6" s="3">
        <v>65.459999999999994</v>
      </c>
      <c r="G6" s="3">
        <v>148.4</v>
      </c>
    </row>
    <row r="7" spans="1:8">
      <c r="A7" s="2">
        <v>4</v>
      </c>
      <c r="B7" s="3">
        <v>99.65</v>
      </c>
      <c r="C7" s="3">
        <v>53.07</v>
      </c>
      <c r="E7" s="2">
        <v>4</v>
      </c>
      <c r="F7" s="3">
        <v>53.07</v>
      </c>
      <c r="G7" s="3">
        <v>162.6</v>
      </c>
    </row>
    <row r="8" spans="1:8">
      <c r="A8" s="2">
        <v>5</v>
      </c>
      <c r="B8" s="3">
        <v>99.62</v>
      </c>
      <c r="C8" s="3">
        <v>55.5</v>
      </c>
      <c r="E8" s="2">
        <v>5</v>
      </c>
      <c r="F8" s="3">
        <v>55.5</v>
      </c>
      <c r="G8" s="3">
        <v>156.80000000000001</v>
      </c>
    </row>
    <row r="9" spans="1:8">
      <c r="A9" s="2">
        <v>6</v>
      </c>
      <c r="B9" s="3">
        <v>99.73</v>
      </c>
      <c r="C9" s="3">
        <v>60</v>
      </c>
      <c r="E9" s="2">
        <v>6</v>
      </c>
      <c r="F9" s="3">
        <v>60</v>
      </c>
      <c r="G9" s="3">
        <v>157.1</v>
      </c>
    </row>
    <row r="10" spans="1:8">
      <c r="A10" s="2" t="s">
        <v>5</v>
      </c>
      <c r="B10" s="3">
        <v>99.122500000000002</v>
      </c>
      <c r="C10" s="3">
        <v>90.46</v>
      </c>
      <c r="E10" s="2" t="s">
        <v>5</v>
      </c>
      <c r="F10" s="3">
        <v>90.46</v>
      </c>
      <c r="G10" s="3">
        <v>104.3</v>
      </c>
    </row>
    <row r="14" spans="1:8">
      <c r="A14" s="41"/>
      <c r="B14" s="42" t="s">
        <v>25</v>
      </c>
      <c r="C14" s="42"/>
      <c r="D14" s="41"/>
      <c r="E14" s="41"/>
      <c r="F14" s="41"/>
      <c r="G14" s="41"/>
      <c r="H14" s="41"/>
    </row>
    <row r="15" spans="1:8">
      <c r="A15" s="2" t="s">
        <v>74</v>
      </c>
      <c r="B15" s="43" t="s">
        <v>1</v>
      </c>
      <c r="C15" s="43" t="s">
        <v>2</v>
      </c>
      <c r="D15" s="43"/>
      <c r="E15" s="2" t="s">
        <v>74</v>
      </c>
      <c r="F15" s="43" t="s">
        <v>3</v>
      </c>
      <c r="G15" s="43" t="s">
        <v>4</v>
      </c>
      <c r="H15" s="43"/>
    </row>
    <row r="16" spans="1:8">
      <c r="A16" s="2">
        <v>1</v>
      </c>
      <c r="B16" s="45">
        <v>240.0278647023228</v>
      </c>
      <c r="C16" s="45">
        <v>147.5581135465099</v>
      </c>
      <c r="D16" s="41"/>
      <c r="E16" s="2">
        <v>1</v>
      </c>
      <c r="F16" s="45">
        <v>147.5581135465099</v>
      </c>
      <c r="G16" s="45">
        <v>366.13606710890087</v>
      </c>
      <c r="H16" s="41"/>
    </row>
    <row r="17" spans="1:8">
      <c r="A17" s="2">
        <v>2</v>
      </c>
      <c r="B17" s="45">
        <v>239.40404178326432</v>
      </c>
      <c r="C17" s="45">
        <v>156.50757311607873</v>
      </c>
      <c r="D17" s="41"/>
      <c r="E17" s="2">
        <v>2</v>
      </c>
      <c r="F17" s="45">
        <v>156.50757311607873</v>
      </c>
      <c r="G17" s="45">
        <v>325.58757737010399</v>
      </c>
      <c r="H17" s="41"/>
    </row>
    <row r="18" spans="1:8">
      <c r="A18" s="2">
        <v>3</v>
      </c>
      <c r="B18" s="45">
        <v>239.2120962697079</v>
      </c>
      <c r="C18" s="45">
        <v>157.05941646755346</v>
      </c>
      <c r="D18" s="41"/>
      <c r="E18" s="2">
        <v>3</v>
      </c>
      <c r="F18" s="45">
        <v>157.05941646755346</v>
      </c>
      <c r="G18" s="45">
        <v>356.05892764718811</v>
      </c>
      <c r="H18" s="41"/>
    </row>
    <row r="19" spans="1:8">
      <c r="A19" s="2">
        <v>4</v>
      </c>
      <c r="B19" s="45">
        <v>239.09213032373515</v>
      </c>
      <c r="C19" s="45">
        <v>127.33185505550051</v>
      </c>
      <c r="D19" s="41"/>
      <c r="E19" s="2">
        <v>4</v>
      </c>
      <c r="F19" s="45">
        <v>127.33185505550051</v>
      </c>
      <c r="G19" s="45">
        <v>390.12925630345546</v>
      </c>
      <c r="H19" s="41"/>
    </row>
    <row r="20" spans="1:8">
      <c r="A20" s="2">
        <v>5</v>
      </c>
      <c r="B20" s="45">
        <v>239.02015075615145</v>
      </c>
      <c r="C20" s="45">
        <v>133.16220002977721</v>
      </c>
      <c r="D20" s="41"/>
      <c r="E20" s="2">
        <v>5</v>
      </c>
      <c r="F20" s="45">
        <v>133.16220002977721</v>
      </c>
      <c r="G20" s="45">
        <v>376.21320657061386</v>
      </c>
      <c r="H20" s="41"/>
    </row>
    <row r="21" spans="1:8">
      <c r="A21" s="2">
        <v>6</v>
      </c>
      <c r="B21" s="45">
        <v>239.28407583729157</v>
      </c>
      <c r="C21" s="45">
        <v>143.95913516732674</v>
      </c>
      <c r="D21" s="41"/>
      <c r="E21" s="2">
        <v>6</v>
      </c>
      <c r="F21" s="45">
        <v>143.95913516732674</v>
      </c>
      <c r="G21" s="45">
        <v>376.93300224645043</v>
      </c>
      <c r="H21" s="41"/>
    </row>
    <row r="22" spans="1:8">
      <c r="A22" s="2" t="s">
        <v>5</v>
      </c>
      <c r="B22" s="45">
        <v>238.20438232353661</v>
      </c>
      <c r="C22" s="45">
        <v>217.04238945393953</v>
      </c>
      <c r="D22" s="41"/>
      <c r="E22" s="2" t="s">
        <v>5</v>
      </c>
      <c r="F22" s="45">
        <v>217.04238945393953</v>
      </c>
      <c r="G22" s="45">
        <v>250.24896329920298</v>
      </c>
      <c r="H22" s="41"/>
    </row>
  </sheetData>
  <mergeCells count="1">
    <mergeCell ref="B14:C14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D2580-23F4-4916-ACDB-16E911EDA9AE}">
  <dimension ref="A1:I22"/>
  <sheetViews>
    <sheetView zoomScale="80" zoomScaleNormal="80" workbookViewId="0"/>
  </sheetViews>
  <sheetFormatPr defaultColWidth="8.85546875" defaultRowHeight="15"/>
  <cols>
    <col min="2" max="2" width="11.28515625" customWidth="1"/>
    <col min="3" max="3" width="11.85546875" customWidth="1"/>
    <col min="7" max="7" width="12.140625" customWidth="1"/>
    <col min="8" max="8" width="12.28515625" customWidth="1"/>
  </cols>
  <sheetData>
    <row r="1" spans="1:9">
      <c r="B1" s="35" t="s">
        <v>0</v>
      </c>
      <c r="C1" s="35"/>
      <c r="D1" s="35"/>
    </row>
    <row r="2" spans="1:9" ht="17.25">
      <c r="B2" t="s">
        <v>72</v>
      </c>
      <c r="C2" s="1"/>
      <c r="D2" s="1"/>
      <c r="E2" s="1"/>
      <c r="F2" s="1"/>
      <c r="G2" t="s">
        <v>73</v>
      </c>
      <c r="H2" s="1"/>
    </row>
    <row r="3" spans="1:9" s="2" customFormat="1">
      <c r="A3" s="2" t="s">
        <v>74</v>
      </c>
      <c r="B3" s="2" t="s">
        <v>1</v>
      </c>
      <c r="C3" s="2" t="s">
        <v>2</v>
      </c>
      <c r="F3" s="2" t="s">
        <v>74</v>
      </c>
      <c r="G3" s="2" t="s">
        <v>3</v>
      </c>
      <c r="H3" s="2" t="s">
        <v>4</v>
      </c>
    </row>
    <row r="4" spans="1:9">
      <c r="A4" s="2">
        <v>1</v>
      </c>
      <c r="B4" s="3">
        <v>99.87</v>
      </c>
      <c r="C4" s="3">
        <v>82.5</v>
      </c>
      <c r="F4" s="2">
        <v>1</v>
      </c>
      <c r="G4" s="3">
        <v>87.32</v>
      </c>
      <c r="H4" s="3">
        <v>109.6</v>
      </c>
    </row>
    <row r="5" spans="1:9">
      <c r="A5" s="2">
        <v>2</v>
      </c>
      <c r="B5" s="3">
        <v>99.91</v>
      </c>
      <c r="C5" s="3">
        <v>67</v>
      </c>
      <c r="F5" s="2">
        <v>2</v>
      </c>
      <c r="G5" s="3">
        <v>73.930000000000007</v>
      </c>
      <c r="H5" s="3">
        <v>104.7</v>
      </c>
    </row>
    <row r="6" spans="1:9">
      <c r="A6" s="2">
        <v>3</v>
      </c>
      <c r="B6" s="3">
        <v>99.82</v>
      </c>
      <c r="C6" s="3">
        <v>71.59</v>
      </c>
      <c r="F6" s="2">
        <v>3</v>
      </c>
      <c r="G6" s="3">
        <v>74.599999999999994</v>
      </c>
      <c r="H6" s="3">
        <v>106</v>
      </c>
    </row>
    <row r="7" spans="1:9">
      <c r="A7" s="2">
        <v>4</v>
      </c>
      <c r="B7" s="3">
        <v>99.32</v>
      </c>
      <c r="C7" s="3">
        <v>78.8</v>
      </c>
      <c r="F7" s="2">
        <v>4</v>
      </c>
      <c r="G7" s="3">
        <v>78.2</v>
      </c>
      <c r="H7" s="3">
        <v>104.3</v>
      </c>
    </row>
    <row r="8" spans="1:9">
      <c r="A8" s="2">
        <v>5</v>
      </c>
      <c r="B8" s="3">
        <v>99.46</v>
      </c>
      <c r="C8" s="3">
        <v>69.3</v>
      </c>
      <c r="F8" s="2">
        <v>5</v>
      </c>
      <c r="G8" s="3">
        <v>73.7</v>
      </c>
      <c r="H8" s="3">
        <v>105.3</v>
      </c>
    </row>
    <row r="9" spans="1:9">
      <c r="A9" s="2">
        <v>6</v>
      </c>
      <c r="B9" s="3">
        <v>100</v>
      </c>
      <c r="C9" s="3">
        <v>61.33</v>
      </c>
      <c r="F9" s="2">
        <v>6</v>
      </c>
      <c r="G9" s="3">
        <v>71.38</v>
      </c>
      <c r="H9" s="3">
        <v>108.7</v>
      </c>
    </row>
    <row r="10" spans="1:9">
      <c r="A10" s="2" t="s">
        <v>5</v>
      </c>
      <c r="B10" s="3">
        <v>99.954999999999998</v>
      </c>
      <c r="C10" s="3">
        <v>97.07</v>
      </c>
      <c r="F10" s="2" t="s">
        <v>5</v>
      </c>
      <c r="G10" s="3">
        <v>98</v>
      </c>
      <c r="H10" s="3">
        <v>101.1</v>
      </c>
    </row>
    <row r="14" spans="1:9">
      <c r="A14" s="41"/>
      <c r="B14" s="42" t="s">
        <v>25</v>
      </c>
      <c r="C14" s="42"/>
      <c r="D14" s="41"/>
      <c r="E14" s="41"/>
      <c r="F14" s="41"/>
      <c r="G14" s="41"/>
      <c r="H14" s="41"/>
      <c r="I14" s="41"/>
    </row>
    <row r="15" spans="1:9">
      <c r="A15" s="2" t="s">
        <v>74</v>
      </c>
      <c r="B15" s="43" t="s">
        <v>1</v>
      </c>
      <c r="C15" s="43" t="s">
        <v>2</v>
      </c>
      <c r="D15" s="43"/>
      <c r="E15" s="43"/>
      <c r="F15" s="2" t="s">
        <v>74</v>
      </c>
      <c r="G15" s="43" t="s">
        <v>3</v>
      </c>
      <c r="H15" s="43" t="s">
        <v>4</v>
      </c>
      <c r="I15" s="43"/>
    </row>
    <row r="16" spans="1:9">
      <c r="A16" s="2">
        <v>1</v>
      </c>
      <c r="B16" s="45">
        <v>239.61998048601535</v>
      </c>
      <c r="C16" s="45">
        <v>197.94381085507428</v>
      </c>
      <c r="D16" s="41"/>
      <c r="E16" s="41"/>
      <c r="F16" s="2">
        <v>1</v>
      </c>
      <c r="G16" s="45">
        <v>209.50852804684951</v>
      </c>
      <c r="H16" s="45">
        <v>262.96535357231681</v>
      </c>
      <c r="I16" s="41"/>
    </row>
    <row r="17" spans="1:9">
      <c r="A17" s="2">
        <v>2</v>
      </c>
      <c r="B17" s="45">
        <v>239.71595324279355</v>
      </c>
      <c r="C17" s="45">
        <v>160.75436760351488</v>
      </c>
      <c r="D17" s="41"/>
      <c r="E17" s="41"/>
      <c r="F17" s="2">
        <v>2</v>
      </c>
      <c r="G17" s="45">
        <v>177.38164771534113</v>
      </c>
      <c r="H17" s="45">
        <v>251.20869086698517</v>
      </c>
      <c r="I17" s="41"/>
    </row>
    <row r="18" spans="1:9">
      <c r="A18" s="2">
        <v>3</v>
      </c>
      <c r="B18" s="45">
        <v>239.50001454004251</v>
      </c>
      <c r="C18" s="45">
        <v>171.76724144381535</v>
      </c>
      <c r="D18" s="41"/>
      <c r="E18" s="41"/>
      <c r="F18" s="2">
        <v>3</v>
      </c>
      <c r="G18" s="45">
        <v>178.98919139137621</v>
      </c>
      <c r="H18" s="45">
        <v>254.32780546227724</v>
      </c>
      <c r="I18" s="41"/>
    </row>
    <row r="19" spans="1:9">
      <c r="A19" s="2">
        <v>4</v>
      </c>
      <c r="B19" s="45">
        <v>238.3003550803148</v>
      </c>
      <c r="C19" s="45">
        <v>189.06633085308908</v>
      </c>
      <c r="D19" s="41"/>
      <c r="E19" s="41"/>
      <c r="F19" s="2">
        <v>4</v>
      </c>
      <c r="G19" s="45">
        <v>187.62673950141584</v>
      </c>
      <c r="H19" s="45">
        <v>250.24896329920298</v>
      </c>
      <c r="I19" s="41"/>
    </row>
    <row r="20" spans="1:9">
      <c r="A20" s="2">
        <v>5</v>
      </c>
      <c r="B20" s="45">
        <v>238.63625972903858</v>
      </c>
      <c r="C20" s="45">
        <v>166.27280111826238</v>
      </c>
      <c r="D20" s="41"/>
      <c r="E20" s="41"/>
      <c r="F20" s="2">
        <v>5</v>
      </c>
      <c r="G20" s="45">
        <v>176.82980436386634</v>
      </c>
      <c r="H20" s="45">
        <v>252.64828221865844</v>
      </c>
      <c r="I20" s="41"/>
    </row>
    <row r="21" spans="1:9">
      <c r="A21" s="2">
        <v>6</v>
      </c>
      <c r="B21" s="45">
        <v>239.93189194554458</v>
      </c>
      <c r="C21" s="45">
        <v>147.15022933020245</v>
      </c>
      <c r="D21" s="41"/>
      <c r="E21" s="41"/>
      <c r="F21" s="2">
        <v>6</v>
      </c>
      <c r="G21" s="45">
        <v>171.2633844707297</v>
      </c>
      <c r="H21" s="45">
        <v>260.80596654480689</v>
      </c>
      <c r="I21" s="41"/>
    </row>
    <row r="22" spans="1:9">
      <c r="A22" s="2" t="s">
        <v>5</v>
      </c>
      <c r="B22" s="45">
        <v>239.83591918876635</v>
      </c>
      <c r="C22" s="45">
        <v>232.90188751154008</v>
      </c>
      <c r="D22" s="41"/>
      <c r="E22" s="41"/>
      <c r="F22" s="2" t="s">
        <v>5</v>
      </c>
      <c r="G22" s="45">
        <v>235.13325410663367</v>
      </c>
      <c r="H22" s="45">
        <v>242.57114275694551</v>
      </c>
      <c r="I22" s="41"/>
    </row>
  </sheetData>
  <mergeCells count="2">
    <mergeCell ref="B1:D1"/>
    <mergeCell ref="B14:C14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37397-9CCE-4B22-B6DB-E11F9E50B208}">
  <dimension ref="A1:H22"/>
  <sheetViews>
    <sheetView zoomScale="80" zoomScaleNormal="80" workbookViewId="0"/>
  </sheetViews>
  <sheetFormatPr defaultColWidth="8.85546875" defaultRowHeight="15"/>
  <cols>
    <col min="2" max="2" width="11" customWidth="1"/>
    <col min="3" max="3" width="11.85546875" customWidth="1"/>
    <col min="7" max="7" width="12.7109375" customWidth="1"/>
    <col min="8" max="8" width="11.7109375" customWidth="1"/>
  </cols>
  <sheetData>
    <row r="1" spans="1:8">
      <c r="B1" s="46" t="s">
        <v>0</v>
      </c>
      <c r="C1" s="46"/>
      <c r="D1" s="46"/>
    </row>
    <row r="2" spans="1:8" ht="17.25">
      <c r="B2" t="s">
        <v>72</v>
      </c>
      <c r="C2" s="1"/>
      <c r="D2" s="1"/>
      <c r="E2" s="1"/>
      <c r="G2" t="s">
        <v>73</v>
      </c>
      <c r="H2" s="1"/>
    </row>
    <row r="3" spans="1:8">
      <c r="A3" s="2" t="s">
        <v>74</v>
      </c>
      <c r="B3" s="2" t="s">
        <v>1</v>
      </c>
      <c r="C3" s="2" t="s">
        <v>2</v>
      </c>
      <c r="D3" s="2"/>
      <c r="E3" s="2"/>
      <c r="F3" s="2" t="s">
        <v>74</v>
      </c>
      <c r="G3" s="2" t="s">
        <v>6</v>
      </c>
      <c r="H3" s="2" t="s">
        <v>4</v>
      </c>
    </row>
    <row r="4" spans="1:8">
      <c r="A4" s="2">
        <v>1</v>
      </c>
      <c r="B4" s="3">
        <v>96.9</v>
      </c>
      <c r="C4" s="3">
        <v>12.5</v>
      </c>
      <c r="F4" s="2">
        <v>1</v>
      </c>
      <c r="G4" s="3">
        <v>12.5</v>
      </c>
      <c r="H4" s="3">
        <v>170.4</v>
      </c>
    </row>
    <row r="5" spans="1:8">
      <c r="A5" s="2">
        <v>2</v>
      </c>
      <c r="B5" s="3">
        <v>96.46</v>
      </c>
      <c r="C5" s="3">
        <v>42.63</v>
      </c>
      <c r="F5" s="2">
        <v>2</v>
      </c>
      <c r="G5" s="3">
        <v>42.63</v>
      </c>
      <c r="H5" s="3">
        <v>142.9</v>
      </c>
    </row>
    <row r="6" spans="1:8">
      <c r="A6" s="2">
        <v>3</v>
      </c>
      <c r="B6" s="3">
        <v>96.39</v>
      </c>
      <c r="C6" s="3">
        <v>45.7</v>
      </c>
      <c r="F6" s="2">
        <v>3</v>
      </c>
      <c r="G6" s="3">
        <v>45.7</v>
      </c>
      <c r="H6" s="3">
        <v>139.6</v>
      </c>
    </row>
    <row r="7" spans="1:8">
      <c r="A7" s="2">
        <v>4</v>
      </c>
      <c r="B7" s="3">
        <v>98.25</v>
      </c>
      <c r="C7" s="3">
        <v>50.33</v>
      </c>
      <c r="F7" s="2">
        <v>4</v>
      </c>
      <c r="G7" s="3">
        <v>50.33</v>
      </c>
      <c r="H7" s="3">
        <v>169.7</v>
      </c>
    </row>
    <row r="8" spans="1:8">
      <c r="A8" s="2">
        <v>5</v>
      </c>
      <c r="B8" s="3">
        <v>99.21</v>
      </c>
      <c r="C8" s="3">
        <v>56.43</v>
      </c>
      <c r="F8" s="2">
        <v>5</v>
      </c>
      <c r="G8" s="3">
        <v>56.43</v>
      </c>
      <c r="H8" s="3">
        <v>144.80000000000001</v>
      </c>
    </row>
    <row r="9" spans="1:8">
      <c r="A9" s="2">
        <v>6</v>
      </c>
      <c r="B9" s="3">
        <v>96.72</v>
      </c>
      <c r="C9" s="3">
        <v>35.47</v>
      </c>
      <c r="F9" s="2">
        <v>6</v>
      </c>
      <c r="G9" s="3">
        <v>35.47</v>
      </c>
      <c r="H9" s="3">
        <v>176.3</v>
      </c>
    </row>
    <row r="10" spans="1:8">
      <c r="A10" s="2" t="s">
        <v>5</v>
      </c>
      <c r="B10" s="3">
        <v>99.14</v>
      </c>
      <c r="C10" s="3">
        <v>90.51</v>
      </c>
      <c r="F10" s="2" t="s">
        <v>5</v>
      </c>
      <c r="G10" s="3">
        <v>90.51</v>
      </c>
      <c r="H10" s="3">
        <v>101.1</v>
      </c>
    </row>
    <row r="14" spans="1:8">
      <c r="A14" s="41"/>
      <c r="B14" s="42" t="s">
        <v>25</v>
      </c>
      <c r="C14" s="42"/>
      <c r="D14" s="41"/>
      <c r="E14" s="41"/>
      <c r="F14" s="41"/>
      <c r="G14" s="41"/>
      <c r="H14" s="41"/>
    </row>
    <row r="15" spans="1:8">
      <c r="A15" s="2" t="s">
        <v>74</v>
      </c>
      <c r="B15" s="43" t="s">
        <v>1</v>
      </c>
      <c r="C15" s="43" t="s">
        <v>2</v>
      </c>
      <c r="D15" s="43"/>
      <c r="E15" s="43"/>
      <c r="F15" s="2" t="s">
        <v>74</v>
      </c>
      <c r="G15" s="43" t="s">
        <v>6</v>
      </c>
      <c r="H15" s="43" t="s">
        <v>4</v>
      </c>
    </row>
    <row r="16" spans="1:8">
      <c r="A16" s="2">
        <v>1</v>
      </c>
      <c r="B16" s="45">
        <v>232.49400329523266</v>
      </c>
      <c r="C16" s="45">
        <v>29.991486493193072</v>
      </c>
      <c r="D16" s="41"/>
      <c r="E16" s="41"/>
      <c r="F16" s="2">
        <v>1</v>
      </c>
      <c r="G16" s="45">
        <v>29.991486493193072</v>
      </c>
      <c r="H16" s="45">
        <v>408.84394387520791</v>
      </c>
    </row>
    <row r="17" spans="1:8">
      <c r="A17" s="2">
        <v>2</v>
      </c>
      <c r="B17" s="45">
        <v>231.43830297067228</v>
      </c>
      <c r="C17" s="45">
        <v>102.28296553638565</v>
      </c>
      <c r="D17" s="41"/>
      <c r="E17" s="41"/>
      <c r="F17" s="2">
        <v>2</v>
      </c>
      <c r="G17" s="45">
        <v>102.28296553638565</v>
      </c>
      <c r="H17" s="45">
        <v>342.86267359018314</v>
      </c>
    </row>
    <row r="18" spans="1:8">
      <c r="A18" s="2">
        <v>3</v>
      </c>
      <c r="B18" s="45">
        <v>231.27035064631045</v>
      </c>
      <c r="C18" s="45">
        <v>109.64887461911385</v>
      </c>
      <c r="D18" s="41"/>
      <c r="E18" s="41"/>
      <c r="F18" s="2">
        <v>3</v>
      </c>
      <c r="G18" s="45">
        <v>109.64887461911385</v>
      </c>
      <c r="H18" s="45">
        <v>334.94492115598018</v>
      </c>
    </row>
    <row r="19" spans="1:8">
      <c r="A19" s="2">
        <v>4</v>
      </c>
      <c r="B19" s="45">
        <v>235.73308383649751</v>
      </c>
      <c r="C19" s="45">
        <v>120.75772121619258</v>
      </c>
      <c r="D19" s="41"/>
      <c r="E19" s="41"/>
      <c r="F19" s="2">
        <v>4</v>
      </c>
      <c r="G19" s="45">
        <v>120.75772121619258</v>
      </c>
      <c r="H19" s="45">
        <v>407.16442063158911</v>
      </c>
    </row>
    <row r="20" spans="1:8">
      <c r="A20" s="2">
        <v>5</v>
      </c>
      <c r="B20" s="45">
        <v>238.03642999917474</v>
      </c>
      <c r="C20" s="45">
        <v>135.39356662487077</v>
      </c>
      <c r="D20" s="41"/>
      <c r="E20" s="41"/>
      <c r="F20" s="2">
        <v>5</v>
      </c>
      <c r="G20" s="45">
        <v>135.39356662487077</v>
      </c>
      <c r="H20" s="45">
        <v>347.4213795371486</v>
      </c>
    </row>
    <row r="21" spans="1:8">
      <c r="A21" s="2">
        <v>6</v>
      </c>
      <c r="B21" s="45">
        <v>232.06212588973068</v>
      </c>
      <c r="C21" s="45">
        <v>85.103842073084664</v>
      </c>
      <c r="D21" s="41"/>
      <c r="E21" s="41"/>
      <c r="F21" s="2">
        <v>6</v>
      </c>
      <c r="G21" s="45">
        <v>85.103842073084664</v>
      </c>
      <c r="H21" s="45">
        <v>422.99992549999507</v>
      </c>
    </row>
    <row r="22" spans="1:8">
      <c r="A22" s="2" t="s">
        <v>5</v>
      </c>
      <c r="B22" s="45">
        <v>236.50086589072325</v>
      </c>
      <c r="C22" s="45">
        <v>217.16235539991237</v>
      </c>
      <c r="D22" s="41"/>
      <c r="E22" s="41"/>
      <c r="F22" s="2" t="s">
        <v>5</v>
      </c>
      <c r="G22" s="45">
        <v>217.16235539991237</v>
      </c>
      <c r="H22" s="45">
        <v>242.57114275694551</v>
      </c>
    </row>
  </sheetData>
  <mergeCells count="1">
    <mergeCell ref="B14:C14"/>
  </mergeCells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DAFF6-6587-4942-B569-49CCAA17EBBD}">
  <dimension ref="A1:I24"/>
  <sheetViews>
    <sheetView zoomScale="80" zoomScaleNormal="80" workbookViewId="0"/>
  </sheetViews>
  <sheetFormatPr defaultColWidth="8.85546875" defaultRowHeight="15"/>
  <cols>
    <col min="1" max="1" width="8.85546875" style="34"/>
    <col min="2" max="2" width="11.7109375" style="34" customWidth="1"/>
    <col min="3" max="3" width="11.85546875" style="34" customWidth="1"/>
    <col min="4" max="5" width="10.42578125" style="34" customWidth="1"/>
    <col min="6" max="6" width="8.7109375" style="34" customWidth="1"/>
    <col min="7" max="7" width="10.85546875" style="34" customWidth="1"/>
    <col min="8" max="8" width="11.5703125" style="34" customWidth="1"/>
    <col min="9" max="10" width="8.85546875" style="34"/>
    <col min="11" max="11" width="13.7109375" style="34" customWidth="1"/>
    <col min="12" max="17" width="8.85546875" style="34"/>
    <col min="18" max="18" width="11.140625" style="34" customWidth="1"/>
    <col min="19" max="19" width="10.85546875" style="34" customWidth="1"/>
    <col min="20" max="22" width="8.85546875" style="34"/>
    <col min="23" max="23" width="9.85546875" style="34" bestFit="1" customWidth="1"/>
    <col min="24" max="24" width="9" style="34" bestFit="1" customWidth="1"/>
    <col min="25" max="16384" width="8.85546875" style="34"/>
  </cols>
  <sheetData>
    <row r="1" spans="1:9">
      <c r="B1" s="46" t="s">
        <v>0</v>
      </c>
      <c r="C1" s="47"/>
      <c r="D1" s="47"/>
    </row>
    <row r="2" spans="1:9" ht="17.25">
      <c r="B2" s="34" t="s">
        <v>75</v>
      </c>
      <c r="C2" s="48"/>
      <c r="D2" s="48"/>
      <c r="E2" s="48"/>
      <c r="F2" s="48"/>
      <c r="G2" s="34" t="s">
        <v>76</v>
      </c>
      <c r="H2" s="48"/>
    </row>
    <row r="3" spans="1:9" s="2" customFormat="1">
      <c r="A3" s="2" t="s">
        <v>74</v>
      </c>
      <c r="B3" s="2" t="s">
        <v>1</v>
      </c>
      <c r="C3" s="2" t="s">
        <v>2</v>
      </c>
      <c r="F3" s="2" t="s">
        <v>74</v>
      </c>
      <c r="G3" s="2" t="s">
        <v>6</v>
      </c>
      <c r="H3" s="2" t="s">
        <v>4</v>
      </c>
    </row>
    <row r="4" spans="1:9">
      <c r="A4" s="2">
        <v>1</v>
      </c>
      <c r="B4" s="49">
        <v>95.15</v>
      </c>
      <c r="C4" s="49">
        <v>79.77</v>
      </c>
      <c r="F4" s="2">
        <v>1</v>
      </c>
      <c r="G4" s="34">
        <v>79.77</v>
      </c>
      <c r="H4" s="34">
        <v>110.5</v>
      </c>
    </row>
    <row r="5" spans="1:9">
      <c r="A5" s="2">
        <v>2</v>
      </c>
      <c r="B5" s="49">
        <v>98.91</v>
      </c>
      <c r="C5" s="49">
        <v>70.62</v>
      </c>
      <c r="F5" s="2">
        <v>2</v>
      </c>
      <c r="G5" s="34">
        <v>70.62</v>
      </c>
      <c r="H5" s="34">
        <v>123.7</v>
      </c>
    </row>
    <row r="6" spans="1:9">
      <c r="A6" s="2">
        <v>3</v>
      </c>
      <c r="B6" s="49">
        <v>97.56</v>
      </c>
      <c r="C6" s="49">
        <v>68.52</v>
      </c>
      <c r="F6" s="2">
        <v>3</v>
      </c>
      <c r="G6" s="34">
        <v>68.52</v>
      </c>
      <c r="H6" s="34">
        <v>129</v>
      </c>
    </row>
    <row r="7" spans="1:9">
      <c r="A7" s="2">
        <v>4</v>
      </c>
      <c r="B7" s="49">
        <v>95.77</v>
      </c>
      <c r="C7" s="49">
        <v>64.010000000000005</v>
      </c>
      <c r="F7" s="2">
        <v>4</v>
      </c>
      <c r="G7" s="34">
        <v>64.010000000000005</v>
      </c>
      <c r="H7" s="34">
        <v>110.5</v>
      </c>
    </row>
    <row r="8" spans="1:9">
      <c r="A8" s="2">
        <v>5</v>
      </c>
      <c r="B8" s="49">
        <v>96.02</v>
      </c>
      <c r="C8" s="49">
        <v>66.72</v>
      </c>
      <c r="F8" s="2">
        <v>5</v>
      </c>
      <c r="G8" s="34">
        <v>66.72</v>
      </c>
      <c r="H8" s="34">
        <v>114.6</v>
      </c>
    </row>
    <row r="9" spans="1:9">
      <c r="A9" s="2">
        <v>6</v>
      </c>
      <c r="B9" s="49">
        <v>96.11</v>
      </c>
      <c r="C9" s="49">
        <v>53.53</v>
      </c>
      <c r="F9" s="2">
        <v>6</v>
      </c>
      <c r="G9" s="34">
        <v>53.53</v>
      </c>
      <c r="H9" s="34">
        <v>132.4</v>
      </c>
    </row>
    <row r="10" spans="1:9">
      <c r="A10" s="2" t="s">
        <v>5</v>
      </c>
      <c r="B10" s="49">
        <v>96.572499999999991</v>
      </c>
      <c r="C10" s="49">
        <v>97.19</v>
      </c>
      <c r="F10" s="2" t="s">
        <v>5</v>
      </c>
      <c r="G10" s="34">
        <v>97.19</v>
      </c>
      <c r="H10" s="34">
        <v>99.19</v>
      </c>
    </row>
    <row r="13" spans="1:9" s="50" customFormat="1"/>
    <row r="14" spans="1:9" s="50" customFormat="1">
      <c r="B14" s="42" t="s">
        <v>25</v>
      </c>
      <c r="C14" s="42"/>
    </row>
    <row r="15" spans="1:9" s="50" customFormat="1">
      <c r="A15" s="43" t="s">
        <v>74</v>
      </c>
      <c r="B15" s="43" t="s">
        <v>1</v>
      </c>
      <c r="C15" s="43" t="s">
        <v>2</v>
      </c>
      <c r="D15" s="43"/>
      <c r="E15" s="43"/>
      <c r="F15" s="2" t="s">
        <v>74</v>
      </c>
      <c r="G15" s="43" t="s">
        <v>3</v>
      </c>
      <c r="H15" s="43" t="s">
        <v>4</v>
      </c>
      <c r="I15" s="43"/>
    </row>
    <row r="16" spans="1:9" s="50" customFormat="1">
      <c r="A16" s="43">
        <v>1</v>
      </c>
      <c r="B16" s="51">
        <v>228.29519518618565</v>
      </c>
      <c r="C16" s="51">
        <v>191.39367020496087</v>
      </c>
      <c r="F16" s="2">
        <v>1</v>
      </c>
      <c r="G16" s="51">
        <v>191.39367020496087</v>
      </c>
      <c r="H16" s="51">
        <v>265.12474059982674</v>
      </c>
    </row>
    <row r="17" spans="1:8" s="50" customFormat="1">
      <c r="A17" s="43">
        <v>2</v>
      </c>
      <c r="B17" s="51">
        <v>237.31663432333812</v>
      </c>
      <c r="C17" s="51">
        <v>169.43990209194357</v>
      </c>
      <c r="F17" s="2">
        <v>2</v>
      </c>
      <c r="G17" s="51">
        <v>169.43990209194357</v>
      </c>
      <c r="H17" s="51">
        <v>296.79575033663855</v>
      </c>
    </row>
    <row r="18" spans="1:8" s="50" customFormat="1">
      <c r="A18" s="43">
        <v>3</v>
      </c>
      <c r="B18" s="51">
        <v>234.07755378207327</v>
      </c>
      <c r="C18" s="51">
        <v>164.40133236108716</v>
      </c>
      <c r="F18" s="2">
        <v>3</v>
      </c>
      <c r="G18" s="51">
        <v>164.40133236108716</v>
      </c>
      <c r="H18" s="51">
        <v>309.51214060975252</v>
      </c>
    </row>
    <row r="19" spans="1:8" s="50" customFormat="1">
      <c r="A19" s="43">
        <v>4</v>
      </c>
      <c r="B19" s="51">
        <v>229.78277291624795</v>
      </c>
      <c r="C19" s="51">
        <v>153.58040403434308</v>
      </c>
      <c r="F19" s="2">
        <v>4</v>
      </c>
      <c r="G19" s="51">
        <v>153.58040403434308</v>
      </c>
      <c r="H19" s="51">
        <v>265.12474059982674</v>
      </c>
    </row>
    <row r="20" spans="1:8" s="50" customFormat="1">
      <c r="A20" s="43">
        <v>5</v>
      </c>
      <c r="B20" s="51">
        <v>230.38260264611185</v>
      </c>
      <c r="C20" s="51">
        <v>160.08255830606728</v>
      </c>
      <c r="F20" s="2">
        <v>5</v>
      </c>
      <c r="G20" s="51">
        <v>160.08255830606728</v>
      </c>
      <c r="H20" s="51">
        <v>274.96194816959405</v>
      </c>
    </row>
    <row r="21" spans="1:8" s="50" customFormat="1">
      <c r="A21" s="43">
        <v>6</v>
      </c>
      <c r="B21" s="51">
        <v>230.59854134886285</v>
      </c>
      <c r="C21" s="51">
        <v>128.43554175845</v>
      </c>
      <c r="F21" s="2">
        <v>6</v>
      </c>
      <c r="G21" s="51">
        <v>128.43554175845</v>
      </c>
      <c r="H21" s="51">
        <v>317.66982493590098</v>
      </c>
    </row>
    <row r="22" spans="1:8" s="50" customFormat="1">
      <c r="A22" s="43" t="s">
        <v>5</v>
      </c>
      <c r="B22" s="51">
        <v>232.75792837637275</v>
      </c>
      <c r="C22" s="51">
        <v>233.1898057818747</v>
      </c>
      <c r="F22" s="2" t="s">
        <v>5</v>
      </c>
      <c r="G22" s="51">
        <v>233.1898057818747</v>
      </c>
      <c r="H22" s="51">
        <v>237.98844362078563</v>
      </c>
    </row>
    <row r="23" spans="1:8" s="50" customFormat="1"/>
    <row r="24" spans="1:8" s="50" customFormat="1"/>
  </sheetData>
  <mergeCells count="1">
    <mergeCell ref="B14:C14"/>
  </mergeCells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E1220-7E51-4B4E-AD82-DF03D9FC4F6D}">
  <dimension ref="A1:T33"/>
  <sheetViews>
    <sheetView topLeftCell="E1" zoomScale="85" zoomScaleNormal="85" workbookViewId="0">
      <selection activeCell="I38" sqref="I38"/>
    </sheetView>
  </sheetViews>
  <sheetFormatPr defaultColWidth="8.85546875" defaultRowHeight="15"/>
  <cols>
    <col min="1" max="1" width="19.28515625" bestFit="1" customWidth="1"/>
    <col min="2" max="2" width="12.7109375" bestFit="1" customWidth="1"/>
    <col min="3" max="3" width="19.42578125" bestFit="1" customWidth="1"/>
    <col min="4" max="4" width="8.140625" bestFit="1" customWidth="1"/>
    <col min="5" max="5" width="9.7109375" bestFit="1" customWidth="1"/>
    <col min="6" max="6" width="9" bestFit="1" customWidth="1"/>
    <col min="7" max="7" width="11.42578125" bestFit="1" customWidth="1"/>
    <col min="9" max="9" width="10.42578125" bestFit="1" customWidth="1"/>
    <col min="11" max="11" width="11.28515625" bestFit="1" customWidth="1"/>
    <col min="12" max="12" width="17.140625" bestFit="1" customWidth="1"/>
    <col min="13" max="13" width="17.85546875" bestFit="1" customWidth="1"/>
    <col min="16" max="16" width="15.140625" bestFit="1" customWidth="1"/>
    <col min="17" max="17" width="14.42578125" bestFit="1" customWidth="1"/>
  </cols>
  <sheetData>
    <row r="1" spans="1:20" ht="17.25">
      <c r="A1" s="36" t="s">
        <v>53</v>
      </c>
      <c r="B1" s="38" t="s">
        <v>21</v>
      </c>
      <c r="C1" s="38" t="s">
        <v>22</v>
      </c>
      <c r="D1" s="15" t="s">
        <v>26</v>
      </c>
      <c r="E1" s="15" t="s">
        <v>26</v>
      </c>
      <c r="F1" s="36" t="s">
        <v>11</v>
      </c>
      <c r="G1" s="40" t="s">
        <v>54</v>
      </c>
      <c r="H1" s="40"/>
      <c r="I1" s="40"/>
      <c r="J1" s="40"/>
      <c r="K1" s="40"/>
      <c r="L1" s="36" t="s">
        <v>12</v>
      </c>
      <c r="M1" s="16" t="s">
        <v>28</v>
      </c>
      <c r="N1" s="19"/>
      <c r="O1" s="20"/>
      <c r="P1" s="20"/>
      <c r="Q1" t="s">
        <v>56</v>
      </c>
      <c r="R1" s="20"/>
      <c r="S1" s="20"/>
      <c r="T1" s="20"/>
    </row>
    <row r="2" spans="1:20" ht="19.5">
      <c r="A2" s="37"/>
      <c r="B2" s="39"/>
      <c r="C2" s="39"/>
      <c r="D2" s="17" t="s">
        <v>13</v>
      </c>
      <c r="E2" s="17" t="s">
        <v>14</v>
      </c>
      <c r="F2" s="37"/>
      <c r="G2" s="16" t="s">
        <v>3</v>
      </c>
      <c r="H2" s="16" t="s">
        <v>24</v>
      </c>
      <c r="I2" s="16" t="s">
        <v>4</v>
      </c>
      <c r="J2" s="16" t="s">
        <v>23</v>
      </c>
      <c r="K2" s="16" t="s">
        <v>15</v>
      </c>
      <c r="L2" s="37"/>
      <c r="M2" s="16" t="s">
        <v>55</v>
      </c>
      <c r="O2" s="18" t="s">
        <v>62</v>
      </c>
      <c r="P2" s="4" t="s">
        <v>16</v>
      </c>
      <c r="Q2" s="4" t="s">
        <v>29</v>
      </c>
      <c r="R2" s="4" t="s">
        <v>17</v>
      </c>
      <c r="S2" s="4" t="s">
        <v>18</v>
      </c>
    </row>
    <row r="3" spans="1:20">
      <c r="A3" s="5" t="s">
        <v>19</v>
      </c>
      <c r="B3" s="5">
        <v>0.47216871408836369</v>
      </c>
      <c r="C3" s="5">
        <v>16.92571328084999</v>
      </c>
      <c r="D3" s="6">
        <v>13</v>
      </c>
      <c r="E3" s="6">
        <v>14.3</v>
      </c>
      <c r="F3" s="6">
        <f>E3-D3</f>
        <v>1.3000000000000007</v>
      </c>
      <c r="G3" s="52">
        <v>209.50852804684951</v>
      </c>
      <c r="H3" s="8">
        <f>G3*32/1000</f>
        <v>6.7042728974991839</v>
      </c>
      <c r="I3" s="7">
        <v>262.96535357231681</v>
      </c>
      <c r="J3" s="8">
        <f>I3*32/1000</f>
        <v>8.4148913143141382</v>
      </c>
      <c r="K3" s="7">
        <f t="shared" ref="K3:K9" si="0">(I3-G3)</f>
        <v>53.456825525467309</v>
      </c>
      <c r="L3" s="7">
        <f>K3-$K$9</f>
        <v>46.018936875155475</v>
      </c>
      <c r="M3" s="7">
        <f t="shared" ref="M3:M8" si="1">(L3*B3)/(F3*C3)</f>
        <v>0.98751444428455293</v>
      </c>
      <c r="P3" s="24" t="s">
        <v>7</v>
      </c>
      <c r="Q3" s="25">
        <f>AVERAGE(M3:M8)</f>
        <v>0.83301206440758702</v>
      </c>
      <c r="R3" s="10">
        <f>_xlfn.STDEV.S(M3:M8)</f>
        <v>0.26123938707181948</v>
      </c>
      <c r="S3" s="10">
        <f>R3/SQRT(5)</f>
        <v>0.11682980557859361</v>
      </c>
    </row>
    <row r="4" spans="1:20">
      <c r="A4" s="5" t="s">
        <v>30</v>
      </c>
      <c r="B4" s="5">
        <v>0.47073373096274018</v>
      </c>
      <c r="C4" s="5">
        <v>23.889947435889479</v>
      </c>
      <c r="D4" s="6">
        <v>13</v>
      </c>
      <c r="E4" s="6">
        <v>14.3</v>
      </c>
      <c r="F4" s="6">
        <f t="shared" ref="F4:F9" si="2">E4-D4</f>
        <v>1.3000000000000007</v>
      </c>
      <c r="G4" s="52">
        <v>177.38164771534113</v>
      </c>
      <c r="H4" s="8">
        <f t="shared" ref="H4:H9" si="3">G4*32/1000</f>
        <v>5.6762127268909159</v>
      </c>
      <c r="I4" s="7">
        <v>251.20869086698517</v>
      </c>
      <c r="J4" s="8">
        <f t="shared" ref="J4:J9" si="4">I4*32/1000</f>
        <v>8.0386781077435252</v>
      </c>
      <c r="K4" s="7">
        <f t="shared" si="0"/>
        <v>73.827043151644034</v>
      </c>
      <c r="L4" s="7">
        <f t="shared" ref="L4:L8" si="5">K4-$K$9</f>
        <v>66.3891545013322</v>
      </c>
      <c r="M4" s="7">
        <f t="shared" si="1"/>
        <v>1.006268575701784</v>
      </c>
      <c r="P4" s="21" t="s">
        <v>8</v>
      </c>
      <c r="Q4" s="26">
        <f>AVERAGE(M11:M16)</f>
        <v>0.94031474126343406</v>
      </c>
      <c r="R4" s="10">
        <f>_xlfn.STDEV.S(M11:M16)</f>
        <v>0.22398278847848976</v>
      </c>
      <c r="S4" s="10">
        <f t="shared" ref="S4:S6" si="6">R4/SQRT(5)</f>
        <v>0.10016814816557196</v>
      </c>
    </row>
    <row r="5" spans="1:20">
      <c r="A5" s="5" t="s">
        <v>31</v>
      </c>
      <c r="B5" s="5">
        <v>0.470040643874854</v>
      </c>
      <c r="C5" s="5">
        <v>22.449071403812351</v>
      </c>
      <c r="D5" s="6">
        <v>13</v>
      </c>
      <c r="E5" s="6">
        <v>14.3</v>
      </c>
      <c r="F5" s="6">
        <f t="shared" si="2"/>
        <v>1.3000000000000007</v>
      </c>
      <c r="G5" s="52">
        <v>178.98919139137621</v>
      </c>
      <c r="H5" s="8">
        <f t="shared" si="3"/>
        <v>5.7276541245240384</v>
      </c>
      <c r="I5" s="7">
        <v>254.32780546227724</v>
      </c>
      <c r="J5" s="8">
        <f t="shared" si="4"/>
        <v>8.1384897747928715</v>
      </c>
      <c r="K5" s="7">
        <f t="shared" si="0"/>
        <v>75.338614070901031</v>
      </c>
      <c r="L5" s="7">
        <f t="shared" si="5"/>
        <v>67.900725420589197</v>
      </c>
      <c r="M5" s="7">
        <f t="shared" si="1"/>
        <v>1.0936241525457531</v>
      </c>
      <c r="P5" s="22" t="s">
        <v>9</v>
      </c>
      <c r="Q5" s="27">
        <f>AVERAGE(M19:M24)</f>
        <v>1.0751004327676659</v>
      </c>
      <c r="R5" s="10">
        <f>_xlfn.STDEV.S(M19:M24)</f>
        <v>0.28074178749860312</v>
      </c>
      <c r="S5" s="10">
        <f t="shared" si="6"/>
        <v>0.12555154419433545</v>
      </c>
    </row>
    <row r="6" spans="1:20">
      <c r="A6" s="5" t="s">
        <v>32</v>
      </c>
      <c r="B6" s="5">
        <v>0.47098753750196615</v>
      </c>
      <c r="C6" s="5">
        <v>22.208925398466167</v>
      </c>
      <c r="D6" s="6">
        <v>13</v>
      </c>
      <c r="E6" s="6">
        <v>14.3</v>
      </c>
      <c r="F6" s="6">
        <f t="shared" si="2"/>
        <v>1.3000000000000007</v>
      </c>
      <c r="G6" s="52">
        <v>187.62673950141584</v>
      </c>
      <c r="H6" s="8">
        <f t="shared" si="3"/>
        <v>6.0040556640453069</v>
      </c>
      <c r="I6" s="7">
        <v>250.24896329920298</v>
      </c>
      <c r="J6" s="8">
        <f t="shared" si="4"/>
        <v>8.0079668255744956</v>
      </c>
      <c r="K6" s="7">
        <f t="shared" si="0"/>
        <v>62.622223797787143</v>
      </c>
      <c r="L6" s="7">
        <f t="shared" si="5"/>
        <v>55.184335147475309</v>
      </c>
      <c r="M6" s="7">
        <f t="shared" si="1"/>
        <v>0.90023176418652573</v>
      </c>
      <c r="P6" s="23" t="s">
        <v>10</v>
      </c>
      <c r="Q6" s="28">
        <f>AVERAGE(M27:M32)</f>
        <v>1.1357574686017098</v>
      </c>
      <c r="R6" s="10">
        <f>_xlfn.STDEV.S(M27:M32)</f>
        <v>0.19511343947143614</v>
      </c>
      <c r="S6" s="10">
        <f t="shared" si="6"/>
        <v>8.725738279638437E-2</v>
      </c>
    </row>
    <row r="7" spans="1:20">
      <c r="A7" s="5" t="s">
        <v>33</v>
      </c>
      <c r="B7" s="5">
        <v>0.47023587967425851</v>
      </c>
      <c r="C7" s="5">
        <v>49.105277997239391</v>
      </c>
      <c r="D7" s="6">
        <v>13</v>
      </c>
      <c r="E7" s="6">
        <v>14.3</v>
      </c>
      <c r="F7" s="6">
        <f t="shared" si="2"/>
        <v>1.3000000000000007</v>
      </c>
      <c r="G7" s="52">
        <v>176.82980436386634</v>
      </c>
      <c r="H7" s="8">
        <f t="shared" si="3"/>
        <v>5.6585537396437227</v>
      </c>
      <c r="I7" s="7">
        <v>252.64828221865844</v>
      </c>
      <c r="J7" s="8">
        <f t="shared" si="4"/>
        <v>8.0847450309970696</v>
      </c>
      <c r="K7" s="7">
        <f t="shared" si="0"/>
        <v>75.818477854792093</v>
      </c>
      <c r="L7" s="7">
        <f t="shared" si="5"/>
        <v>68.380589204480259</v>
      </c>
      <c r="M7" s="7">
        <f t="shared" si="1"/>
        <v>0.5037059437734287</v>
      </c>
    </row>
    <row r="8" spans="1:20">
      <c r="A8" s="5" t="s">
        <v>34</v>
      </c>
      <c r="B8" s="5">
        <v>0.46719996299351779</v>
      </c>
      <c r="C8" s="5">
        <v>58.230826200394588</v>
      </c>
      <c r="D8" s="6">
        <v>13</v>
      </c>
      <c r="E8" s="6">
        <v>14.3</v>
      </c>
      <c r="F8" s="6">
        <f t="shared" si="2"/>
        <v>1.3000000000000007</v>
      </c>
      <c r="G8" s="52">
        <v>171.2633844707297</v>
      </c>
      <c r="H8" s="8">
        <f t="shared" si="3"/>
        <v>5.4804283030633503</v>
      </c>
      <c r="I8" s="7">
        <v>260.80596654480689</v>
      </c>
      <c r="J8" s="8">
        <f t="shared" si="4"/>
        <v>8.3457909294338197</v>
      </c>
      <c r="K8" s="7">
        <f t="shared" si="0"/>
        <v>89.542582074077188</v>
      </c>
      <c r="L8" s="7">
        <f t="shared" si="5"/>
        <v>82.104693423765355</v>
      </c>
      <c r="M8" s="7">
        <f t="shared" si="1"/>
        <v>0.5067275059534776</v>
      </c>
    </row>
    <row r="9" spans="1:20">
      <c r="A9" s="11" t="s">
        <v>20</v>
      </c>
      <c r="B9" s="11">
        <v>0.47416011924229029</v>
      </c>
      <c r="C9" s="11" t="s">
        <v>27</v>
      </c>
      <c r="D9" s="11">
        <v>13</v>
      </c>
      <c r="E9" s="11">
        <v>14.3</v>
      </c>
      <c r="F9" s="13">
        <f t="shared" si="2"/>
        <v>1.3000000000000007</v>
      </c>
      <c r="G9" s="53">
        <v>235.13325410663367</v>
      </c>
      <c r="H9" s="8">
        <f t="shared" si="3"/>
        <v>7.5242641314122771</v>
      </c>
      <c r="I9" s="14">
        <v>242.57114275694551</v>
      </c>
      <c r="J9" s="8">
        <f t="shared" si="4"/>
        <v>7.7622765682222559</v>
      </c>
      <c r="K9" s="14">
        <f t="shared" si="0"/>
        <v>7.4378886503118338</v>
      </c>
      <c r="L9" s="14" t="s">
        <v>27</v>
      </c>
      <c r="M9" s="14" t="s">
        <v>27</v>
      </c>
    </row>
    <row r="11" spans="1:20">
      <c r="A11" s="5" t="s">
        <v>35</v>
      </c>
      <c r="B11" s="5">
        <v>0.47068717420118672</v>
      </c>
      <c r="C11" s="5">
        <v>27.01184550538996</v>
      </c>
      <c r="D11" s="6">
        <v>12.42</v>
      </c>
      <c r="E11" s="6">
        <v>14.32</v>
      </c>
      <c r="F11" s="6">
        <f>E11-D11</f>
        <v>1.9000000000000004</v>
      </c>
      <c r="G11" s="7">
        <v>191.39367020496087</v>
      </c>
      <c r="H11" s="8">
        <f>G11*32/1000</f>
        <v>6.1245974465587478</v>
      </c>
      <c r="I11" s="7">
        <v>265.12474059982674</v>
      </c>
      <c r="J11" s="8">
        <f>I11*32/1000</f>
        <v>8.4839916991944548</v>
      </c>
      <c r="K11" s="7">
        <f t="shared" ref="K11:K16" si="7">(I11-G11)</f>
        <v>73.731070394865867</v>
      </c>
      <c r="L11" s="7">
        <f>K11-$K$17</f>
        <v>68.932432555954932</v>
      </c>
      <c r="M11" s="7">
        <f t="shared" ref="M11:M16" si="8">(L11*B11)/(F11*C11)</f>
        <v>0.63219071180226993</v>
      </c>
    </row>
    <row r="12" spans="1:20">
      <c r="A12" s="5" t="s">
        <v>36</v>
      </c>
      <c r="B12" s="5">
        <v>0.47092130532755322</v>
      </c>
      <c r="C12" s="5">
        <v>27.251991510736143</v>
      </c>
      <c r="D12" s="6">
        <v>12.42</v>
      </c>
      <c r="E12" s="6">
        <v>14.32</v>
      </c>
      <c r="F12" s="6">
        <f t="shared" ref="F12:F16" si="9">E12-D12</f>
        <v>1.9000000000000004</v>
      </c>
      <c r="G12" s="7">
        <v>169.43990209194357</v>
      </c>
      <c r="H12" s="8">
        <f t="shared" ref="H12:H16" si="10">G12*32/1000</f>
        <v>5.4220768669421942</v>
      </c>
      <c r="I12" s="7">
        <v>296.79575033663855</v>
      </c>
      <c r="J12" s="8">
        <f t="shared" ref="J12:J16" si="11">I12*32/1000</f>
        <v>9.4974640107724344</v>
      </c>
      <c r="K12" s="7">
        <f t="shared" si="7"/>
        <v>127.35584824469498</v>
      </c>
      <c r="L12" s="7">
        <f t="shared" ref="L12:L16" si="12">K12-$K$17</f>
        <v>122.55721040578405</v>
      </c>
      <c r="M12" s="7">
        <f t="shared" si="8"/>
        <v>1.1146418897372032</v>
      </c>
    </row>
    <row r="13" spans="1:20">
      <c r="A13" s="5" t="s">
        <v>37</v>
      </c>
      <c r="B13" s="5">
        <v>0.47000429174928449</v>
      </c>
      <c r="C13" s="5">
        <v>35.176809687160421</v>
      </c>
      <c r="D13" s="6">
        <v>12.42</v>
      </c>
      <c r="E13" s="6">
        <v>14.32</v>
      </c>
      <c r="F13" s="6">
        <f t="shared" si="9"/>
        <v>1.9000000000000004</v>
      </c>
      <c r="G13" s="7">
        <v>164.40133236108716</v>
      </c>
      <c r="H13" s="8">
        <f t="shared" si="10"/>
        <v>5.2608426355547886</v>
      </c>
      <c r="I13" s="7">
        <v>309.51214060975252</v>
      </c>
      <c r="J13" s="8">
        <f t="shared" si="11"/>
        <v>9.9043884995120806</v>
      </c>
      <c r="K13" s="7">
        <f t="shared" si="7"/>
        <v>145.11080824866536</v>
      </c>
      <c r="L13" s="7">
        <f t="shared" si="12"/>
        <v>140.31217040975443</v>
      </c>
      <c r="M13" s="7">
        <f t="shared" si="8"/>
        <v>0.98670451631919109</v>
      </c>
    </row>
    <row r="14" spans="1:20">
      <c r="A14" s="5" t="s">
        <v>38</v>
      </c>
      <c r="B14" s="5">
        <v>0.46956529588734724</v>
      </c>
      <c r="C14" s="5">
        <v>31.814765612313753</v>
      </c>
      <c r="D14" s="6">
        <v>12.42</v>
      </c>
      <c r="E14" s="6">
        <v>14.32</v>
      </c>
      <c r="F14" s="6">
        <f t="shared" si="9"/>
        <v>1.9000000000000004</v>
      </c>
      <c r="G14" s="7">
        <v>153.58040403434308</v>
      </c>
      <c r="H14" s="8">
        <f t="shared" si="10"/>
        <v>4.9145729290989788</v>
      </c>
      <c r="I14" s="7">
        <v>265.12474059982674</v>
      </c>
      <c r="J14" s="8">
        <f t="shared" si="11"/>
        <v>8.4839916991944548</v>
      </c>
      <c r="K14" s="7">
        <f t="shared" si="7"/>
        <v>111.54433656548366</v>
      </c>
      <c r="L14" s="7">
        <f t="shared" si="12"/>
        <v>106.74569872657273</v>
      </c>
      <c r="M14" s="7">
        <f t="shared" si="8"/>
        <v>0.82920907689022783</v>
      </c>
    </row>
    <row r="15" spans="1:20">
      <c r="A15" s="5" t="s">
        <v>39</v>
      </c>
      <c r="B15" s="5">
        <v>0.47063839688319375</v>
      </c>
      <c r="C15" s="5">
        <v>33.015495639044673</v>
      </c>
      <c r="D15" s="6">
        <v>12.42</v>
      </c>
      <c r="E15" s="6">
        <v>14.32</v>
      </c>
      <c r="F15" s="6">
        <f t="shared" si="9"/>
        <v>1.9000000000000004</v>
      </c>
      <c r="G15" s="7">
        <v>160.08255830606728</v>
      </c>
      <c r="H15" s="8">
        <f t="shared" si="10"/>
        <v>5.1226418657941535</v>
      </c>
      <c r="I15" s="7">
        <v>274.96194816959405</v>
      </c>
      <c r="J15" s="8">
        <f t="shared" si="11"/>
        <v>8.7987823414270103</v>
      </c>
      <c r="K15" s="7">
        <f t="shared" si="7"/>
        <v>114.87938986352677</v>
      </c>
      <c r="L15" s="7">
        <f t="shared" si="12"/>
        <v>110.08075202461583</v>
      </c>
      <c r="M15" s="7">
        <f t="shared" si="8"/>
        <v>0.82589972499063846</v>
      </c>
    </row>
    <row r="16" spans="1:20">
      <c r="A16" s="5" t="s">
        <v>40</v>
      </c>
      <c r="B16" s="5">
        <v>0.46965309505973474</v>
      </c>
      <c r="C16" s="5">
        <v>36.377539713891345</v>
      </c>
      <c r="D16" s="6">
        <v>12.42</v>
      </c>
      <c r="E16" s="6">
        <v>14.32</v>
      </c>
      <c r="F16" s="6">
        <f t="shared" si="9"/>
        <v>1.9000000000000004</v>
      </c>
      <c r="G16" s="7">
        <v>128.43554175845</v>
      </c>
      <c r="H16" s="8">
        <f t="shared" si="10"/>
        <v>4.1099373362704004</v>
      </c>
      <c r="I16" s="7">
        <v>317.66982493590098</v>
      </c>
      <c r="J16" s="8">
        <f t="shared" si="11"/>
        <v>10.165434397948831</v>
      </c>
      <c r="K16" s="7">
        <f t="shared" si="7"/>
        <v>189.23428317745098</v>
      </c>
      <c r="L16" s="7">
        <f t="shared" si="12"/>
        <v>184.43564533854004</v>
      </c>
      <c r="M16" s="7">
        <f t="shared" si="8"/>
        <v>1.2532425278410735</v>
      </c>
    </row>
    <row r="17" spans="1:13">
      <c r="A17" s="11" t="s">
        <v>20</v>
      </c>
      <c r="B17" s="11">
        <v>0.47416011924229029</v>
      </c>
      <c r="C17" s="11" t="s">
        <v>27</v>
      </c>
      <c r="D17" s="11">
        <v>12.42</v>
      </c>
      <c r="E17" s="11">
        <v>14.32</v>
      </c>
      <c r="F17" s="13">
        <f t="shared" ref="F17" si="13">E17-D17</f>
        <v>1.9000000000000004</v>
      </c>
      <c r="G17" s="14">
        <v>233.1898057818747</v>
      </c>
      <c r="H17" s="8">
        <f t="shared" ref="H17" si="14">G17*32/1000</f>
        <v>7.4620737850199905</v>
      </c>
      <c r="I17" s="14">
        <v>237.98844362078563</v>
      </c>
      <c r="J17" s="8">
        <f t="shared" ref="J17" si="15">I17*32/1000</f>
        <v>7.6156301958651405</v>
      </c>
      <c r="K17" s="14">
        <f t="shared" ref="K17" si="16">(I17-G17)</f>
        <v>4.7986378389109348</v>
      </c>
      <c r="L17" s="14" t="s">
        <v>27</v>
      </c>
      <c r="M17" s="14" t="s">
        <v>27</v>
      </c>
    </row>
    <row r="19" spans="1:13">
      <c r="A19" s="5" t="s">
        <v>41</v>
      </c>
      <c r="B19" s="5">
        <v>0.46889851444833741</v>
      </c>
      <c r="C19" s="5">
        <v>49.105277997239412</v>
      </c>
      <c r="D19" s="6">
        <v>12.38</v>
      </c>
      <c r="E19" s="6">
        <v>14.32</v>
      </c>
      <c r="F19" s="6">
        <f>E19-D19</f>
        <v>1.9399999999999995</v>
      </c>
      <c r="G19" s="7">
        <v>147.5581135465099</v>
      </c>
      <c r="H19" s="8">
        <f>G19*32/1000</f>
        <v>4.7218596334883172</v>
      </c>
      <c r="I19" s="7">
        <v>366.13606710890087</v>
      </c>
      <c r="J19" s="8">
        <f>I19*32/1000</f>
        <v>11.716354147484829</v>
      </c>
      <c r="K19" s="7">
        <f t="shared" ref="K19:K25" si="17">(I19-G19)</f>
        <v>218.57795356239097</v>
      </c>
      <c r="L19" s="7">
        <f>K19-$K$25</f>
        <v>185.37137971712752</v>
      </c>
      <c r="M19" s="7">
        <f t="shared" ref="M19:M24" si="18">(L19*B19)/(F19*C19)</f>
        <v>0.91241335884196761</v>
      </c>
    </row>
    <row r="20" spans="1:13">
      <c r="A20" s="5" t="s">
        <v>42</v>
      </c>
      <c r="B20" s="5">
        <v>0.46884970549848637</v>
      </c>
      <c r="C20" s="5">
        <v>51.987030061393668</v>
      </c>
      <c r="D20" s="6">
        <v>12.38</v>
      </c>
      <c r="E20" s="6">
        <v>14.32</v>
      </c>
      <c r="F20" s="6">
        <f t="shared" ref="F20:F25" si="19">E20-D20</f>
        <v>1.9399999999999995</v>
      </c>
      <c r="G20" s="7">
        <v>156.50757311607873</v>
      </c>
      <c r="H20" s="8">
        <f t="shared" ref="H20:H25" si="20">G20*32/1000</f>
        <v>5.0082423397145197</v>
      </c>
      <c r="I20" s="7">
        <v>325.58757737010399</v>
      </c>
      <c r="J20" s="8">
        <f t="shared" ref="J20:J25" si="21">I20*32/1000</f>
        <v>10.418802475843327</v>
      </c>
      <c r="K20" s="7">
        <f t="shared" si="17"/>
        <v>169.08000425402525</v>
      </c>
      <c r="L20" s="7">
        <f t="shared" ref="L20:L24" si="22">K20-$K$25</f>
        <v>135.87343040876181</v>
      </c>
      <c r="M20" s="7">
        <f t="shared" si="18"/>
        <v>0.63164265486855031</v>
      </c>
    </row>
    <row r="21" spans="1:13">
      <c r="A21" s="5" t="s">
        <v>43</v>
      </c>
      <c r="B21" s="5">
        <v>0.46979659912559835</v>
      </c>
      <c r="C21" s="5">
        <v>32.05491161765994</v>
      </c>
      <c r="D21" s="6">
        <v>12.38</v>
      </c>
      <c r="E21" s="6">
        <v>14.32</v>
      </c>
      <c r="F21" s="6">
        <f t="shared" si="19"/>
        <v>1.9399999999999995</v>
      </c>
      <c r="G21" s="7">
        <v>157.05941646755346</v>
      </c>
      <c r="H21" s="8">
        <f t="shared" si="20"/>
        <v>5.0259013269617103</v>
      </c>
      <c r="I21" s="7">
        <v>356.05892764718811</v>
      </c>
      <c r="J21" s="8">
        <f t="shared" si="21"/>
        <v>11.393885684710019</v>
      </c>
      <c r="K21" s="7">
        <f t="shared" si="17"/>
        <v>198.99951117963465</v>
      </c>
      <c r="L21" s="7">
        <f t="shared" si="22"/>
        <v>165.7929373343712</v>
      </c>
      <c r="M21" s="7">
        <f t="shared" si="18"/>
        <v>1.2525053246992208</v>
      </c>
    </row>
    <row r="22" spans="1:13">
      <c r="A22" s="5" t="s">
        <v>44</v>
      </c>
      <c r="B22" s="5">
        <v>0.46687782392450045</v>
      </c>
      <c r="C22" s="5">
        <v>55.829366146932706</v>
      </c>
      <c r="D22" s="6">
        <v>12.38</v>
      </c>
      <c r="E22" s="6">
        <v>14.32</v>
      </c>
      <c r="F22" s="6">
        <f t="shared" si="19"/>
        <v>1.9399999999999995</v>
      </c>
      <c r="G22" s="7">
        <v>127.33185505550051</v>
      </c>
      <c r="H22" s="8">
        <f t="shared" si="20"/>
        <v>4.0746193617760165</v>
      </c>
      <c r="I22" s="7">
        <v>390.12925630345546</v>
      </c>
      <c r="J22" s="8">
        <f t="shared" si="21"/>
        <v>12.484136201710575</v>
      </c>
      <c r="K22" s="7">
        <f t="shared" si="17"/>
        <v>262.79740124795495</v>
      </c>
      <c r="L22" s="7">
        <f t="shared" si="22"/>
        <v>229.5908274026915</v>
      </c>
      <c r="M22" s="7">
        <f t="shared" si="18"/>
        <v>0.98967671439494198</v>
      </c>
    </row>
    <row r="23" spans="1:13">
      <c r="A23" s="5" t="s">
        <v>45</v>
      </c>
      <c r="B23" s="5">
        <v>0.46933779499699763</v>
      </c>
      <c r="C23" s="5">
        <v>38.058561751314677</v>
      </c>
      <c r="D23" s="6">
        <v>12.38</v>
      </c>
      <c r="E23" s="6">
        <v>14.32</v>
      </c>
      <c r="F23" s="6">
        <f t="shared" si="19"/>
        <v>1.9399999999999995</v>
      </c>
      <c r="G23" s="7">
        <v>133.16220002977721</v>
      </c>
      <c r="H23" s="8">
        <f t="shared" si="20"/>
        <v>4.2611904009528709</v>
      </c>
      <c r="I23" s="7">
        <v>376.21320657061386</v>
      </c>
      <c r="J23" s="8">
        <f t="shared" si="21"/>
        <v>12.038822610259643</v>
      </c>
      <c r="K23" s="7">
        <f t="shared" si="17"/>
        <v>243.05100654083665</v>
      </c>
      <c r="L23" s="7">
        <f t="shared" si="22"/>
        <v>209.8444326955732</v>
      </c>
      <c r="M23" s="7">
        <f t="shared" si="18"/>
        <v>1.3339172174269569</v>
      </c>
    </row>
    <row r="24" spans="1:13">
      <c r="A24" s="5" t="s">
        <v>46</v>
      </c>
      <c r="B24" s="5">
        <v>0.47001135850494336</v>
      </c>
      <c r="C24" s="5">
        <v>36.377539713891345</v>
      </c>
      <c r="D24" s="6">
        <v>12.38</v>
      </c>
      <c r="E24" s="6">
        <v>14.32</v>
      </c>
      <c r="F24" s="6">
        <f t="shared" si="19"/>
        <v>1.9399999999999995</v>
      </c>
      <c r="G24" s="7">
        <v>143.95913516732674</v>
      </c>
      <c r="H24" s="8">
        <f t="shared" si="20"/>
        <v>4.6066923253544552</v>
      </c>
      <c r="I24" s="7">
        <v>376.93300224645043</v>
      </c>
      <c r="J24" s="8">
        <f t="shared" si="21"/>
        <v>12.061856071886414</v>
      </c>
      <c r="K24" s="7">
        <f t="shared" si="17"/>
        <v>232.97386707912369</v>
      </c>
      <c r="L24" s="7">
        <f t="shared" si="22"/>
        <v>199.76729323386024</v>
      </c>
      <c r="M24" s="7">
        <f t="shared" si="18"/>
        <v>1.330447326374357</v>
      </c>
    </row>
    <row r="25" spans="1:13">
      <c r="A25" s="11" t="s">
        <v>20</v>
      </c>
      <c r="B25" s="11">
        <v>0.47416011924229029</v>
      </c>
      <c r="C25" s="11" t="s">
        <v>27</v>
      </c>
      <c r="D25" s="12">
        <v>12.38</v>
      </c>
      <c r="E25" s="12">
        <v>14.32</v>
      </c>
      <c r="F25" s="13">
        <f t="shared" si="19"/>
        <v>1.9399999999999995</v>
      </c>
      <c r="G25" s="14">
        <v>217.04238945393953</v>
      </c>
      <c r="H25" s="8">
        <f t="shared" si="20"/>
        <v>6.9453564625260649</v>
      </c>
      <c r="I25" s="14">
        <v>250.24896329920298</v>
      </c>
      <c r="J25" s="8">
        <f t="shared" si="21"/>
        <v>8.0079668255744956</v>
      </c>
      <c r="K25" s="14">
        <f t="shared" si="17"/>
        <v>33.206573845263449</v>
      </c>
      <c r="L25" s="14" t="s">
        <v>27</v>
      </c>
      <c r="M25" s="14" t="s">
        <v>27</v>
      </c>
    </row>
    <row r="27" spans="1:13">
      <c r="A27" s="5" t="s">
        <v>47</v>
      </c>
      <c r="B27" s="5">
        <v>0.46390884808954852</v>
      </c>
      <c r="C27" s="5">
        <v>77.442506628089731</v>
      </c>
      <c r="D27" s="6">
        <v>13.19</v>
      </c>
      <c r="E27" s="6">
        <v>15.15</v>
      </c>
      <c r="F27" s="6">
        <f>E27-D27</f>
        <v>1.9600000000000009</v>
      </c>
      <c r="G27" s="7">
        <v>29.991486493193072</v>
      </c>
      <c r="H27" s="8">
        <f>G27*32/1000</f>
        <v>0.95972756778217827</v>
      </c>
      <c r="I27" s="7">
        <v>408.84394387520791</v>
      </c>
      <c r="J27" s="8">
        <f>I27*32/1000</f>
        <v>13.083006204006653</v>
      </c>
      <c r="K27" s="7">
        <f t="shared" ref="K27:K33" si="23">(I27-G27)</f>
        <v>378.85245738201485</v>
      </c>
      <c r="L27" s="7">
        <f>K27-$K$33</f>
        <v>353.44367002498171</v>
      </c>
      <c r="M27" s="7">
        <f t="shared" ref="M27:M32" si="24">(L27*B27)/(F27*C27)</f>
        <v>1.0802328771410128</v>
      </c>
    </row>
    <row r="28" spans="1:13">
      <c r="A28" s="5" t="s">
        <v>48</v>
      </c>
      <c r="B28" s="5">
        <v>0.46883922135824802</v>
      </c>
      <c r="C28" s="5">
        <v>46.463671938431297</v>
      </c>
      <c r="D28" s="6">
        <v>13.19</v>
      </c>
      <c r="E28" s="6">
        <v>15.15</v>
      </c>
      <c r="F28" s="6">
        <f t="shared" ref="F28:F33" si="25">E28-D28</f>
        <v>1.9600000000000009</v>
      </c>
      <c r="G28" s="7">
        <v>102.28296553638565</v>
      </c>
      <c r="H28" s="8">
        <f t="shared" ref="H28:H33" si="26">G28*32/1000</f>
        <v>3.2730548971643407</v>
      </c>
      <c r="I28" s="7">
        <v>342.86267359018314</v>
      </c>
      <c r="J28" s="8">
        <f t="shared" ref="J28:J33" si="27">I28*32/1000</f>
        <v>10.97160555488586</v>
      </c>
      <c r="K28" s="7">
        <f t="shared" si="23"/>
        <v>240.5797080537975</v>
      </c>
      <c r="L28" s="7">
        <f t="shared" ref="L28:L32" si="28">K28-$K$33</f>
        <v>215.17092069676437</v>
      </c>
      <c r="M28" s="7">
        <f t="shared" si="24"/>
        <v>1.1077401946921033</v>
      </c>
    </row>
    <row r="29" spans="1:13">
      <c r="A29" s="5" t="s">
        <v>49</v>
      </c>
      <c r="B29" s="5">
        <v>0.4700010320888921</v>
      </c>
      <c r="C29" s="5">
        <v>37.097977729929895</v>
      </c>
      <c r="D29" s="6">
        <v>13.19</v>
      </c>
      <c r="E29" s="6">
        <v>15.15</v>
      </c>
      <c r="F29" s="6">
        <f t="shared" si="25"/>
        <v>1.9600000000000009</v>
      </c>
      <c r="G29" s="7">
        <v>109.64887461911385</v>
      </c>
      <c r="H29" s="8">
        <f t="shared" si="26"/>
        <v>3.5087639878116432</v>
      </c>
      <c r="I29" s="7">
        <v>334.94492115598018</v>
      </c>
      <c r="J29" s="8">
        <f t="shared" si="27"/>
        <v>10.718237476991366</v>
      </c>
      <c r="K29" s="7">
        <f t="shared" si="23"/>
        <v>225.29604653686633</v>
      </c>
      <c r="L29" s="7">
        <f t="shared" si="28"/>
        <v>199.88725917983319</v>
      </c>
      <c r="M29" s="7">
        <f t="shared" si="24"/>
        <v>1.2920449327380903</v>
      </c>
    </row>
    <row r="30" spans="1:13">
      <c r="A30" s="5" t="s">
        <v>50</v>
      </c>
      <c r="B30" s="5">
        <v>0.46877087955056318</v>
      </c>
      <c r="C30" s="5">
        <v>44.062211884969415</v>
      </c>
      <c r="D30" s="6">
        <v>13.19</v>
      </c>
      <c r="E30" s="6">
        <v>15.15</v>
      </c>
      <c r="F30" s="6">
        <f t="shared" si="25"/>
        <v>1.9600000000000009</v>
      </c>
      <c r="G30" s="7">
        <v>120.75772121619258</v>
      </c>
      <c r="H30" s="8">
        <f t="shared" si="26"/>
        <v>3.8642470789181624</v>
      </c>
      <c r="I30" s="7">
        <v>407.16442063158911</v>
      </c>
      <c r="J30" s="8">
        <f t="shared" si="27"/>
        <v>13.029261460210851</v>
      </c>
      <c r="K30" s="7">
        <f t="shared" si="23"/>
        <v>286.40669941539653</v>
      </c>
      <c r="L30" s="7">
        <f t="shared" si="28"/>
        <v>260.9979120583634</v>
      </c>
      <c r="M30" s="7">
        <f t="shared" si="24"/>
        <v>1.4166915132133977</v>
      </c>
    </row>
    <row r="31" spans="1:13">
      <c r="A31" s="5" t="s">
        <v>51</v>
      </c>
      <c r="B31" s="5">
        <v>0.46601768101239838</v>
      </c>
      <c r="C31" s="5">
        <v>51.746884056047527</v>
      </c>
      <c r="D31" s="6">
        <v>13.19</v>
      </c>
      <c r="E31" s="6">
        <v>15.15</v>
      </c>
      <c r="F31" s="6">
        <f t="shared" si="25"/>
        <v>1.9600000000000009</v>
      </c>
      <c r="G31" s="7">
        <v>135.39356662487077</v>
      </c>
      <c r="H31" s="8">
        <f t="shared" si="26"/>
        <v>4.3325941319958643</v>
      </c>
      <c r="I31" s="7">
        <v>347.4213795371486</v>
      </c>
      <c r="J31" s="8">
        <f t="shared" si="27"/>
        <v>11.117484145188754</v>
      </c>
      <c r="K31" s="7">
        <f t="shared" si="23"/>
        <v>212.02781291227782</v>
      </c>
      <c r="L31" s="7">
        <f t="shared" si="28"/>
        <v>186.61902555524469</v>
      </c>
      <c r="M31" s="7">
        <f t="shared" si="24"/>
        <v>0.85746822729967165</v>
      </c>
    </row>
    <row r="32" spans="1:13">
      <c r="A32" s="5" t="s">
        <v>52</v>
      </c>
      <c r="B32" s="5">
        <v>0.46554905147398723</v>
      </c>
      <c r="C32" s="5">
        <v>69.997980462357802</v>
      </c>
      <c r="D32" s="6">
        <v>13.19</v>
      </c>
      <c r="E32" s="6">
        <v>15.15</v>
      </c>
      <c r="F32" s="6">
        <f t="shared" si="25"/>
        <v>1.9600000000000009</v>
      </c>
      <c r="G32" s="7">
        <v>85.103842073084664</v>
      </c>
      <c r="H32" s="8">
        <f t="shared" si="26"/>
        <v>2.7233229463387092</v>
      </c>
      <c r="I32" s="7">
        <v>422.99992549999507</v>
      </c>
      <c r="J32" s="8">
        <f t="shared" si="27"/>
        <v>13.535997615999843</v>
      </c>
      <c r="K32" s="7">
        <f t="shared" si="23"/>
        <v>337.89608342691042</v>
      </c>
      <c r="L32" s="7">
        <f t="shared" si="28"/>
        <v>312.48729606987729</v>
      </c>
      <c r="M32" s="7">
        <f t="shared" si="24"/>
        <v>1.0603670665259832</v>
      </c>
    </row>
    <row r="33" spans="1:13">
      <c r="A33" s="11" t="s">
        <v>20</v>
      </c>
      <c r="B33" s="11">
        <v>0.47416011924229029</v>
      </c>
      <c r="C33" s="11" t="s">
        <v>27</v>
      </c>
      <c r="D33" s="12">
        <v>13.19</v>
      </c>
      <c r="E33" s="12">
        <v>15.15</v>
      </c>
      <c r="F33" s="13">
        <f t="shared" si="25"/>
        <v>1.9600000000000009</v>
      </c>
      <c r="G33" s="14">
        <v>217.16235539991237</v>
      </c>
      <c r="H33" s="8">
        <f t="shared" si="26"/>
        <v>6.9491953727971962</v>
      </c>
      <c r="I33" s="14">
        <v>242.57114275694551</v>
      </c>
      <c r="J33" s="8">
        <f t="shared" si="27"/>
        <v>7.7622765682222559</v>
      </c>
      <c r="K33" s="14">
        <f t="shared" si="23"/>
        <v>25.408787357033134</v>
      </c>
      <c r="L33" s="14" t="s">
        <v>27</v>
      </c>
      <c r="M33" s="14" t="s">
        <v>27</v>
      </c>
    </row>
  </sheetData>
  <mergeCells count="6">
    <mergeCell ref="L1:L2"/>
    <mergeCell ref="A1:A2"/>
    <mergeCell ref="B1:B2"/>
    <mergeCell ref="C1:C2"/>
    <mergeCell ref="F1:F2"/>
    <mergeCell ref="G1:K1"/>
  </mergeCells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9A8A3-0C18-4AE6-ADC7-596BE4A5BA5D}">
  <dimension ref="A1:U33"/>
  <sheetViews>
    <sheetView topLeftCell="I1" zoomScale="85" zoomScaleNormal="85" workbookViewId="0">
      <selection activeCell="Q9" sqref="Q9:Q12"/>
    </sheetView>
  </sheetViews>
  <sheetFormatPr defaultColWidth="8.85546875" defaultRowHeight="15"/>
  <cols>
    <col min="1" max="1" width="19.28515625" bestFit="1" customWidth="1"/>
    <col min="2" max="2" width="12.7109375" bestFit="1" customWidth="1"/>
    <col min="3" max="3" width="19.42578125" bestFit="1" customWidth="1"/>
    <col min="4" max="4" width="8.140625" bestFit="1" customWidth="1"/>
    <col min="5" max="5" width="9.7109375" bestFit="1" customWidth="1"/>
    <col min="6" max="6" width="9" bestFit="1" customWidth="1"/>
    <col min="7" max="7" width="11.42578125" bestFit="1" customWidth="1"/>
    <col min="9" max="9" width="10.42578125" bestFit="1" customWidth="1"/>
    <col min="11" max="11" width="11.28515625" bestFit="1" customWidth="1"/>
    <col min="12" max="12" width="17.140625" bestFit="1" customWidth="1"/>
    <col min="13" max="13" width="17.85546875" bestFit="1" customWidth="1"/>
    <col min="14" max="14" width="14.140625" bestFit="1" customWidth="1"/>
    <col min="17" max="17" width="15.140625" bestFit="1" customWidth="1"/>
    <col min="18" max="18" width="14.42578125" bestFit="1" customWidth="1"/>
    <col min="22" max="22" width="9.28515625" bestFit="1" customWidth="1"/>
    <col min="23" max="23" width="15.140625" bestFit="1" customWidth="1"/>
    <col min="24" max="24" width="13.7109375" customWidth="1"/>
  </cols>
  <sheetData>
    <row r="1" spans="1:21" ht="17.25">
      <c r="A1" s="36" t="s">
        <v>53</v>
      </c>
      <c r="B1" s="38" t="s">
        <v>21</v>
      </c>
      <c r="C1" s="38" t="s">
        <v>22</v>
      </c>
      <c r="D1" s="15" t="s">
        <v>59</v>
      </c>
      <c r="E1" s="15" t="s">
        <v>59</v>
      </c>
      <c r="F1" s="36" t="s">
        <v>11</v>
      </c>
      <c r="G1" s="40" t="s">
        <v>54</v>
      </c>
      <c r="H1" s="40"/>
      <c r="I1" s="40"/>
      <c r="J1" s="40"/>
      <c r="K1" s="40"/>
      <c r="L1" s="36" t="s">
        <v>12</v>
      </c>
      <c r="M1" s="16" t="s">
        <v>28</v>
      </c>
      <c r="N1" s="29"/>
      <c r="O1" s="19"/>
      <c r="P1" s="20"/>
      <c r="Q1" s="20"/>
      <c r="R1" t="s">
        <v>56</v>
      </c>
      <c r="S1" s="20"/>
      <c r="T1" s="20"/>
      <c r="U1" s="20"/>
    </row>
    <row r="2" spans="1:21" ht="18">
      <c r="A2" s="37"/>
      <c r="B2" s="39"/>
      <c r="C2" s="39"/>
      <c r="D2" s="17" t="s">
        <v>13</v>
      </c>
      <c r="E2" s="17" t="s">
        <v>14</v>
      </c>
      <c r="F2" s="37"/>
      <c r="G2" s="16" t="s">
        <v>1</v>
      </c>
      <c r="H2" s="16" t="s">
        <v>24</v>
      </c>
      <c r="I2" s="16" t="s">
        <v>2</v>
      </c>
      <c r="J2" s="16" t="s">
        <v>23</v>
      </c>
      <c r="K2" s="16" t="s">
        <v>15</v>
      </c>
      <c r="L2" s="37"/>
      <c r="M2" s="16" t="s">
        <v>55</v>
      </c>
      <c r="N2" s="29" t="s">
        <v>64</v>
      </c>
      <c r="P2" s="18" t="s">
        <v>58</v>
      </c>
      <c r="Q2" s="4" t="s">
        <v>16</v>
      </c>
      <c r="R2" s="4" t="s">
        <v>29</v>
      </c>
      <c r="S2" s="4" t="s">
        <v>17</v>
      </c>
      <c r="T2" s="4" t="s">
        <v>18</v>
      </c>
    </row>
    <row r="3" spans="1:21">
      <c r="A3" s="5" t="s">
        <v>19</v>
      </c>
      <c r="B3" s="5">
        <v>0.47216871408836369</v>
      </c>
      <c r="C3" s="5">
        <v>16.92571328084999</v>
      </c>
      <c r="D3" s="6">
        <v>11.15</v>
      </c>
      <c r="E3" s="6">
        <v>12.45</v>
      </c>
      <c r="F3" s="6">
        <f>E3-D3</f>
        <v>1.2999999999999989</v>
      </c>
      <c r="G3" s="6">
        <v>99.87</v>
      </c>
      <c r="H3" s="8">
        <f>G3*32/1000</f>
        <v>3.19584</v>
      </c>
      <c r="I3" s="7">
        <v>82.5</v>
      </c>
      <c r="J3" s="8">
        <f>I3*32/1000</f>
        <v>2.64</v>
      </c>
      <c r="K3" s="7">
        <f t="shared" ref="K3:K9" si="0">(I3-G3)</f>
        <v>-17.370000000000005</v>
      </c>
      <c r="L3" s="7">
        <f>K3-$K$9</f>
        <v>-14.480000000000004</v>
      </c>
      <c r="M3" s="7">
        <f t="shared" ref="M3:M8" si="1">(L3*B3)/(F3*C3)</f>
        <v>-0.31072445658691761</v>
      </c>
      <c r="N3" s="7">
        <f>M3*-1</f>
        <v>0.31072445658691761</v>
      </c>
      <c r="Q3" s="9" t="s">
        <v>7</v>
      </c>
      <c r="R3" s="10">
        <f>AVERAGE(M3:M8)</f>
        <v>-0.31386252286698146</v>
      </c>
      <c r="S3" s="10">
        <f>_xlfn.STDEV.S(M3:M8)</f>
        <v>0.10092833007085748</v>
      </c>
      <c r="T3" s="10">
        <f>S3/SQRT(5)</f>
        <v>4.5136521378794696E-2</v>
      </c>
    </row>
    <row r="4" spans="1:21">
      <c r="A4" s="5" t="s">
        <v>30</v>
      </c>
      <c r="B4" s="5">
        <v>0.47073373096274018</v>
      </c>
      <c r="C4" s="5">
        <v>23.889947435889479</v>
      </c>
      <c r="D4" s="6">
        <v>11.15</v>
      </c>
      <c r="E4" s="6">
        <v>12.45</v>
      </c>
      <c r="F4" s="6">
        <f t="shared" ref="F4:F9" si="2">E4-D4</f>
        <v>1.2999999999999989</v>
      </c>
      <c r="G4" s="6">
        <v>99.91</v>
      </c>
      <c r="H4" s="8">
        <f t="shared" ref="H4:H9" si="3">G4*32/1000</f>
        <v>3.19712</v>
      </c>
      <c r="I4" s="7">
        <v>67</v>
      </c>
      <c r="J4" s="8">
        <f t="shared" ref="J4:J9" si="4">I4*32/1000</f>
        <v>2.1440000000000001</v>
      </c>
      <c r="K4" s="7">
        <f t="shared" si="0"/>
        <v>-32.909999999999997</v>
      </c>
      <c r="L4" s="7">
        <f t="shared" ref="L4:L8" si="5">K4-$K$9</f>
        <v>-30.019999999999996</v>
      </c>
      <c r="M4" s="7">
        <f t="shared" si="1"/>
        <v>-0.45501683022580763</v>
      </c>
      <c r="N4" s="7">
        <f t="shared" ref="N4:N8" si="6">M4*-1</f>
        <v>0.45501683022580763</v>
      </c>
      <c r="Q4" s="9" t="s">
        <v>8</v>
      </c>
      <c r="R4" s="10">
        <f>AVERAGE(M11:M16)</f>
        <v>-0.22782689628940669</v>
      </c>
      <c r="S4" s="10">
        <f>_xlfn.STDEV.S(M11:M16)</f>
        <v>5.1192382923353562E-2</v>
      </c>
      <c r="T4" s="10">
        <f t="shared" ref="T4:T6" si="7">S4/SQRT(5)</f>
        <v>2.2893929629363593E-2</v>
      </c>
    </row>
    <row r="5" spans="1:21">
      <c r="A5" s="5" t="s">
        <v>31</v>
      </c>
      <c r="B5" s="5">
        <v>0.470040643874854</v>
      </c>
      <c r="C5" s="5">
        <v>22.449071403812351</v>
      </c>
      <c r="D5" s="6">
        <v>11.15</v>
      </c>
      <c r="E5" s="6">
        <v>12.45</v>
      </c>
      <c r="F5" s="6">
        <f t="shared" si="2"/>
        <v>1.2999999999999989</v>
      </c>
      <c r="G5" s="6">
        <v>99.82</v>
      </c>
      <c r="H5" s="8">
        <f t="shared" si="3"/>
        <v>3.1942399999999997</v>
      </c>
      <c r="I5" s="7">
        <v>71.59</v>
      </c>
      <c r="J5" s="8">
        <f t="shared" si="4"/>
        <v>2.29088</v>
      </c>
      <c r="K5" s="7">
        <f t="shared" si="0"/>
        <v>-28.22999999999999</v>
      </c>
      <c r="L5" s="7">
        <f t="shared" si="5"/>
        <v>-25.339999999999989</v>
      </c>
      <c r="M5" s="7">
        <f t="shared" si="1"/>
        <v>-0.40813166359937453</v>
      </c>
      <c r="N5" s="7">
        <f t="shared" si="6"/>
        <v>0.40813166359937453</v>
      </c>
      <c r="Q5" s="9" t="s">
        <v>9</v>
      </c>
      <c r="R5" s="10">
        <f>AVERAGE(M19:M24)</f>
        <v>-0.16258807187365423</v>
      </c>
      <c r="S5" s="10">
        <f>_xlfn.STDEV.S(M19:M24)</f>
        <v>3.6483071385494011E-2</v>
      </c>
      <c r="T5" s="10">
        <f t="shared" si="7"/>
        <v>1.6315725529188408E-2</v>
      </c>
    </row>
    <row r="6" spans="1:21">
      <c r="A6" s="5" t="s">
        <v>32</v>
      </c>
      <c r="B6" s="5">
        <v>0.47098753750196615</v>
      </c>
      <c r="C6" s="5">
        <v>22.208925398466167</v>
      </c>
      <c r="D6" s="6">
        <v>11.15</v>
      </c>
      <c r="E6" s="6">
        <v>12.45</v>
      </c>
      <c r="F6" s="6">
        <f t="shared" si="2"/>
        <v>1.2999999999999989</v>
      </c>
      <c r="G6" s="6">
        <v>99.32</v>
      </c>
      <c r="H6" s="8">
        <f t="shared" si="3"/>
        <v>3.1782399999999997</v>
      </c>
      <c r="I6" s="7">
        <v>78.8</v>
      </c>
      <c r="J6" s="8">
        <f t="shared" si="4"/>
        <v>2.5215999999999998</v>
      </c>
      <c r="K6" s="7">
        <f t="shared" si="0"/>
        <v>-20.519999999999996</v>
      </c>
      <c r="L6" s="7">
        <f t="shared" si="5"/>
        <v>-17.629999999999995</v>
      </c>
      <c r="M6" s="7">
        <f t="shared" si="1"/>
        <v>-0.28760129047843702</v>
      </c>
      <c r="N6" s="7">
        <f t="shared" si="6"/>
        <v>0.28760129047843702</v>
      </c>
      <c r="Q6" s="9" t="s">
        <v>10</v>
      </c>
      <c r="R6" s="10">
        <f>AVERAGE(M27:M32)</f>
        <v>-0.16281832907192628</v>
      </c>
      <c r="S6" s="10">
        <f>_xlfn.STDEV.S(M27:M32)</f>
        <v>3.1285496590321073E-2</v>
      </c>
      <c r="T6" s="10">
        <f t="shared" si="7"/>
        <v>1.399129941715916E-2</v>
      </c>
    </row>
    <row r="7" spans="1:21">
      <c r="A7" s="5" t="s">
        <v>33</v>
      </c>
      <c r="B7" s="5">
        <v>0.47023587967425851</v>
      </c>
      <c r="C7" s="5">
        <v>49.105277997239391</v>
      </c>
      <c r="D7" s="6">
        <v>11.15</v>
      </c>
      <c r="E7" s="6">
        <v>12.45</v>
      </c>
      <c r="F7" s="6">
        <f t="shared" si="2"/>
        <v>1.2999999999999989</v>
      </c>
      <c r="G7" s="6">
        <v>99.46</v>
      </c>
      <c r="H7" s="8">
        <f t="shared" si="3"/>
        <v>3.1827199999999998</v>
      </c>
      <c r="I7" s="7">
        <v>69.3</v>
      </c>
      <c r="J7" s="8">
        <f t="shared" si="4"/>
        <v>2.2176</v>
      </c>
      <c r="K7" s="7">
        <f t="shared" si="0"/>
        <v>-30.159999999999997</v>
      </c>
      <c r="L7" s="7">
        <f t="shared" si="5"/>
        <v>-27.269999999999996</v>
      </c>
      <c r="M7" s="7">
        <f t="shared" si="1"/>
        <v>-0.20087661201084586</v>
      </c>
      <c r="N7" s="7">
        <f t="shared" si="6"/>
        <v>0.20087661201084586</v>
      </c>
    </row>
    <row r="8" spans="1:21" ht="15.75">
      <c r="A8" s="5" t="s">
        <v>34</v>
      </c>
      <c r="B8" s="5">
        <v>0.46719996299351779</v>
      </c>
      <c r="C8" s="5">
        <v>58.230826200394588</v>
      </c>
      <c r="D8" s="6">
        <v>11.15</v>
      </c>
      <c r="E8" s="6">
        <v>12.45</v>
      </c>
      <c r="F8" s="6">
        <f t="shared" si="2"/>
        <v>1.2999999999999989</v>
      </c>
      <c r="G8" s="6">
        <v>100</v>
      </c>
      <c r="H8" s="8">
        <f t="shared" si="3"/>
        <v>3.2</v>
      </c>
      <c r="I8" s="7">
        <v>61.33</v>
      </c>
      <c r="J8" s="8">
        <f t="shared" si="4"/>
        <v>1.9625599999999999</v>
      </c>
      <c r="K8" s="7">
        <f t="shared" si="0"/>
        <v>-38.67</v>
      </c>
      <c r="L8" s="7">
        <f t="shared" si="5"/>
        <v>-35.78</v>
      </c>
      <c r="M8" s="7">
        <f t="shared" si="1"/>
        <v>-0.22082428430050607</v>
      </c>
      <c r="N8" s="7">
        <f t="shared" si="6"/>
        <v>0.22082428430050607</v>
      </c>
      <c r="P8" s="18" t="s">
        <v>61</v>
      </c>
      <c r="Q8" s="4" t="s">
        <v>16</v>
      </c>
      <c r="R8" s="4" t="s">
        <v>29</v>
      </c>
      <c r="S8" s="4" t="s">
        <v>17</v>
      </c>
      <c r="T8" s="4" t="s">
        <v>18</v>
      </c>
    </row>
    <row r="9" spans="1:21">
      <c r="A9" s="11" t="s">
        <v>20</v>
      </c>
      <c r="B9" s="11">
        <v>0.47416011924229029</v>
      </c>
      <c r="C9" s="11" t="s">
        <v>27</v>
      </c>
      <c r="D9" s="11">
        <v>11.15</v>
      </c>
      <c r="E9" s="11">
        <v>12.45</v>
      </c>
      <c r="F9" s="13">
        <f t="shared" si="2"/>
        <v>1.2999999999999989</v>
      </c>
      <c r="G9" s="13">
        <v>99.96</v>
      </c>
      <c r="H9" s="8">
        <f t="shared" si="3"/>
        <v>3.1987199999999998</v>
      </c>
      <c r="I9" s="14">
        <v>97.07</v>
      </c>
      <c r="J9" s="8">
        <f t="shared" si="4"/>
        <v>3.1062399999999997</v>
      </c>
      <c r="K9" s="14">
        <f t="shared" si="0"/>
        <v>-2.8900000000000006</v>
      </c>
      <c r="L9" s="14" t="s">
        <v>27</v>
      </c>
      <c r="M9" s="14" t="s">
        <v>27</v>
      </c>
      <c r="N9" s="14"/>
      <c r="Q9" s="24" t="s">
        <v>7</v>
      </c>
      <c r="R9" s="25">
        <f>AVERAGE(N3:N8)</f>
        <v>0.31386252286698146</v>
      </c>
      <c r="S9" s="10">
        <v>0.10092833007085748</v>
      </c>
      <c r="T9" s="10">
        <v>4.5136521378794696E-2</v>
      </c>
    </row>
    <row r="10" spans="1:21">
      <c r="Q10" s="21" t="s">
        <v>8</v>
      </c>
      <c r="R10" s="26">
        <f>AVERAGE(N11:N16)</f>
        <v>0.22782689628940669</v>
      </c>
      <c r="S10" s="10">
        <v>5.1192382923353562E-2</v>
      </c>
      <c r="T10" s="10">
        <v>2.2893929629363593E-2</v>
      </c>
    </row>
    <row r="11" spans="1:21">
      <c r="A11" s="5" t="s">
        <v>35</v>
      </c>
      <c r="B11" s="5">
        <v>0.47068717420118672</v>
      </c>
      <c r="C11" s="5">
        <v>27.01184550538996</v>
      </c>
      <c r="D11" s="6">
        <v>10.52</v>
      </c>
      <c r="E11" s="6">
        <v>12.42</v>
      </c>
      <c r="F11" s="6">
        <f>E11-D11</f>
        <v>1.9000000000000004</v>
      </c>
      <c r="G11" s="7">
        <v>95.15</v>
      </c>
      <c r="H11" s="8">
        <f>G11*32/1000</f>
        <v>3.0448000000000004</v>
      </c>
      <c r="I11" s="7">
        <v>79.77</v>
      </c>
      <c r="J11" s="8">
        <f>I11*32/1000</f>
        <v>2.5526399999999998</v>
      </c>
      <c r="K11" s="7">
        <f t="shared" ref="K11:K17" si="8">(I11-G11)</f>
        <v>-15.38000000000001</v>
      </c>
      <c r="L11" s="7">
        <f>K11-$K$17</f>
        <v>-15.560000000000002</v>
      </c>
      <c r="M11" s="7">
        <f t="shared" ref="M11:M16" si="9">(L11*B11)/(F11*C11)</f>
        <v>-0.14270332716981032</v>
      </c>
      <c r="N11" s="7">
        <f>M11*-1</f>
        <v>0.14270332716981032</v>
      </c>
      <c r="Q11" s="22" t="s">
        <v>9</v>
      </c>
      <c r="R11" s="27">
        <f>AVERAGE(N19:N24)</f>
        <v>0.16258807187365423</v>
      </c>
      <c r="S11" s="10">
        <v>3.6483071385494011E-2</v>
      </c>
      <c r="T11" s="10">
        <v>1.6315725529188408E-2</v>
      </c>
    </row>
    <row r="12" spans="1:21">
      <c r="A12" s="5" t="s">
        <v>36</v>
      </c>
      <c r="B12" s="5">
        <v>0.47092130532755322</v>
      </c>
      <c r="C12" s="5">
        <v>27.251991510736143</v>
      </c>
      <c r="D12" s="6">
        <v>10.52</v>
      </c>
      <c r="E12" s="6">
        <v>12.42</v>
      </c>
      <c r="F12" s="6">
        <f t="shared" ref="F12:F17" si="10">E12-D12</f>
        <v>1.9000000000000004</v>
      </c>
      <c r="G12" s="7">
        <v>98.91</v>
      </c>
      <c r="H12" s="8">
        <f t="shared" ref="H12:H17" si="11">G12*32/1000</f>
        <v>3.1651199999999999</v>
      </c>
      <c r="I12" s="7">
        <v>70.62</v>
      </c>
      <c r="J12" s="8">
        <f t="shared" ref="J12:J17" si="12">I12*32/1000</f>
        <v>2.2598400000000001</v>
      </c>
      <c r="K12" s="7">
        <f t="shared" si="8"/>
        <v>-28.289999999999992</v>
      </c>
      <c r="L12" s="7">
        <f t="shared" ref="L12:L16" si="13">K12-$K$17</f>
        <v>-28.469999999999985</v>
      </c>
      <c r="M12" s="7">
        <f t="shared" si="9"/>
        <v>-0.25893094739793859</v>
      </c>
      <c r="N12" s="7">
        <f t="shared" ref="N12:N16" si="14">M12*-1</f>
        <v>0.25893094739793859</v>
      </c>
      <c r="Q12" s="23" t="s">
        <v>10</v>
      </c>
      <c r="R12" s="28">
        <f>AVERAGE(N27:N32)</f>
        <v>0.16281832907192628</v>
      </c>
      <c r="S12" s="10">
        <v>3.1285496590321073E-2</v>
      </c>
      <c r="T12" s="10">
        <v>1.399129941715916E-2</v>
      </c>
    </row>
    <row r="13" spans="1:21">
      <c r="A13" s="5" t="s">
        <v>37</v>
      </c>
      <c r="B13" s="5">
        <v>0.47000429174928449</v>
      </c>
      <c r="C13" s="5">
        <v>35.176809687160421</v>
      </c>
      <c r="D13" s="6">
        <v>10.52</v>
      </c>
      <c r="E13" s="6">
        <v>12.42</v>
      </c>
      <c r="F13" s="6">
        <f t="shared" si="10"/>
        <v>1.9000000000000004</v>
      </c>
      <c r="G13" s="7">
        <v>97.56</v>
      </c>
      <c r="H13" s="8">
        <f t="shared" si="11"/>
        <v>3.1219200000000003</v>
      </c>
      <c r="I13" s="7">
        <v>68.52</v>
      </c>
      <c r="J13" s="8">
        <f t="shared" si="12"/>
        <v>2.1926399999999999</v>
      </c>
      <c r="K13" s="7">
        <f t="shared" si="8"/>
        <v>-29.040000000000006</v>
      </c>
      <c r="L13" s="7">
        <f t="shared" si="13"/>
        <v>-29.22</v>
      </c>
      <c r="M13" s="7">
        <f t="shared" si="9"/>
        <v>-0.20548114880305787</v>
      </c>
      <c r="N13" s="7">
        <f t="shared" si="14"/>
        <v>0.20548114880305787</v>
      </c>
    </row>
    <row r="14" spans="1:21">
      <c r="A14" s="5" t="s">
        <v>38</v>
      </c>
      <c r="B14" s="5">
        <v>0.46956529588734724</v>
      </c>
      <c r="C14" s="5">
        <v>31.814765612313753</v>
      </c>
      <c r="D14" s="6">
        <v>10.52</v>
      </c>
      <c r="E14" s="6">
        <v>12.42</v>
      </c>
      <c r="F14" s="6">
        <f t="shared" si="10"/>
        <v>1.9000000000000004</v>
      </c>
      <c r="G14" s="7">
        <v>95.77</v>
      </c>
      <c r="H14" s="8">
        <f t="shared" si="11"/>
        <v>3.0646399999999998</v>
      </c>
      <c r="I14" s="7">
        <v>64.010000000000005</v>
      </c>
      <c r="J14" s="8">
        <f t="shared" si="12"/>
        <v>2.0483200000000004</v>
      </c>
      <c r="K14" s="7">
        <f t="shared" si="8"/>
        <v>-31.759999999999991</v>
      </c>
      <c r="L14" s="7">
        <f t="shared" si="13"/>
        <v>-31.939999999999984</v>
      </c>
      <c r="M14" s="7">
        <f t="shared" si="9"/>
        <v>-0.24811246009747501</v>
      </c>
      <c r="N14" s="7">
        <f t="shared" si="14"/>
        <v>0.24811246009747501</v>
      </c>
    </row>
    <row r="15" spans="1:21">
      <c r="A15" s="5" t="s">
        <v>39</v>
      </c>
      <c r="B15" s="5">
        <v>0.47063839688319375</v>
      </c>
      <c r="C15" s="5">
        <v>33.015495639044673</v>
      </c>
      <c r="D15" s="6">
        <v>10.52</v>
      </c>
      <c r="E15" s="6">
        <v>12.42</v>
      </c>
      <c r="F15" s="6">
        <f t="shared" si="10"/>
        <v>1.9000000000000004</v>
      </c>
      <c r="G15" s="7">
        <v>96.02</v>
      </c>
      <c r="H15" s="8">
        <f t="shared" si="11"/>
        <v>3.0726399999999998</v>
      </c>
      <c r="I15" s="7">
        <v>66.72</v>
      </c>
      <c r="J15" s="8">
        <f t="shared" si="12"/>
        <v>2.13504</v>
      </c>
      <c r="K15" s="7">
        <f t="shared" si="8"/>
        <v>-29.299999999999997</v>
      </c>
      <c r="L15" s="7">
        <f t="shared" si="13"/>
        <v>-29.47999999999999</v>
      </c>
      <c r="M15" s="7">
        <f t="shared" si="9"/>
        <v>-0.22117875691183064</v>
      </c>
      <c r="N15" s="7">
        <f t="shared" si="14"/>
        <v>0.22117875691183064</v>
      </c>
    </row>
    <row r="16" spans="1:21">
      <c r="A16" s="5" t="s">
        <v>40</v>
      </c>
      <c r="B16" s="5">
        <v>0.46965309505973474</v>
      </c>
      <c r="C16" s="5">
        <v>36.377539713891345</v>
      </c>
      <c r="D16" s="6">
        <v>10.52</v>
      </c>
      <c r="E16" s="6">
        <v>12.42</v>
      </c>
      <c r="F16" s="6">
        <f t="shared" si="10"/>
        <v>1.9000000000000004</v>
      </c>
      <c r="G16" s="7">
        <v>96.11</v>
      </c>
      <c r="H16" s="8">
        <f t="shared" si="11"/>
        <v>3.07552</v>
      </c>
      <c r="I16" s="7">
        <v>53.53</v>
      </c>
      <c r="J16" s="8">
        <f t="shared" si="12"/>
        <v>1.71296</v>
      </c>
      <c r="K16" s="7">
        <f t="shared" si="8"/>
        <v>-42.58</v>
      </c>
      <c r="L16" s="7">
        <f t="shared" si="13"/>
        <v>-42.759999999999991</v>
      </c>
      <c r="M16" s="7">
        <f t="shared" si="9"/>
        <v>-0.29055473735632764</v>
      </c>
      <c r="N16" s="7">
        <f t="shared" si="14"/>
        <v>0.29055473735632764</v>
      </c>
    </row>
    <row r="17" spans="1:14">
      <c r="A17" s="11" t="s">
        <v>20</v>
      </c>
      <c r="B17" s="11">
        <v>0.47416011924229029</v>
      </c>
      <c r="C17" s="11" t="s">
        <v>27</v>
      </c>
      <c r="D17" s="11">
        <v>10.52</v>
      </c>
      <c r="E17" s="11">
        <v>12.42</v>
      </c>
      <c r="F17" s="13">
        <f t="shared" si="10"/>
        <v>1.9000000000000004</v>
      </c>
      <c r="G17" s="14">
        <v>97.01</v>
      </c>
      <c r="H17" s="8">
        <f t="shared" si="11"/>
        <v>3.10432</v>
      </c>
      <c r="I17" s="14">
        <v>97.19</v>
      </c>
      <c r="J17" s="8">
        <f t="shared" si="12"/>
        <v>3.11008</v>
      </c>
      <c r="K17" s="14">
        <f t="shared" si="8"/>
        <v>0.17999999999999261</v>
      </c>
      <c r="L17" s="14" t="s">
        <v>27</v>
      </c>
      <c r="M17" s="14" t="s">
        <v>27</v>
      </c>
      <c r="N17" s="14"/>
    </row>
    <row r="19" spans="1:14">
      <c r="A19" s="5" t="s">
        <v>41</v>
      </c>
      <c r="B19" s="5">
        <v>0.46889851444833741</v>
      </c>
      <c r="C19" s="5">
        <v>49.105277997239412</v>
      </c>
      <c r="D19" s="6">
        <v>10.29</v>
      </c>
      <c r="E19" s="6">
        <v>12.38</v>
      </c>
      <c r="F19" s="6">
        <f>E19-D19</f>
        <v>2.0900000000000016</v>
      </c>
      <c r="G19" s="7">
        <v>100.04</v>
      </c>
      <c r="H19" s="8">
        <f>G19*32/1000</f>
        <v>3.2012800000000001</v>
      </c>
      <c r="I19" s="7">
        <v>61.5</v>
      </c>
      <c r="J19" s="8">
        <f>I19*32/1000</f>
        <v>1.968</v>
      </c>
      <c r="K19" s="7">
        <f t="shared" ref="K19:K25" si="15">(I19-G19)</f>
        <v>-38.540000000000006</v>
      </c>
      <c r="L19" s="7">
        <f>K19-$K$25</f>
        <v>-29.72</v>
      </c>
      <c r="M19" s="7">
        <f t="shared" ref="M19:M24" si="16">(L19*B19)/(F19*C19)</f>
        <v>-0.13578543932693832</v>
      </c>
      <c r="N19" s="7">
        <f>M19*-1</f>
        <v>0.13578543932693832</v>
      </c>
    </row>
    <row r="20" spans="1:14">
      <c r="A20" s="5" t="s">
        <v>42</v>
      </c>
      <c r="B20" s="5">
        <v>0.46884970549848637</v>
      </c>
      <c r="C20" s="5">
        <v>51.987030061393668</v>
      </c>
      <c r="D20" s="6">
        <v>10.29</v>
      </c>
      <c r="E20" s="6">
        <v>12.38</v>
      </c>
      <c r="F20" s="6">
        <f t="shared" ref="F20:F25" si="17">E20-D20</f>
        <v>2.0900000000000016</v>
      </c>
      <c r="G20" s="7">
        <v>99.78</v>
      </c>
      <c r="H20" s="8">
        <f t="shared" ref="H20:H25" si="18">G20*32/1000</f>
        <v>3.1929600000000002</v>
      </c>
      <c r="I20" s="7">
        <v>65.23</v>
      </c>
      <c r="J20" s="8">
        <f t="shared" ref="J20:J25" si="19">I20*32/1000</f>
        <v>2.0873600000000003</v>
      </c>
      <c r="K20" s="7">
        <f t="shared" si="15"/>
        <v>-34.549999999999997</v>
      </c>
      <c r="L20" s="7">
        <f t="shared" ref="L20:L24" si="20">K20-$K$25</f>
        <v>-25.72999999999999</v>
      </c>
      <c r="M20" s="7">
        <f t="shared" si="16"/>
        <v>-0.11102790370743386</v>
      </c>
      <c r="N20" s="7">
        <f t="shared" ref="N20:N24" si="21">M20*-1</f>
        <v>0.11102790370743386</v>
      </c>
    </row>
    <row r="21" spans="1:14">
      <c r="A21" s="5" t="s">
        <v>43</v>
      </c>
      <c r="B21" s="5">
        <v>0.46979659912559835</v>
      </c>
      <c r="C21" s="5">
        <v>32.05491161765994</v>
      </c>
      <c r="D21" s="6">
        <v>10.29</v>
      </c>
      <c r="E21" s="6">
        <v>12.38</v>
      </c>
      <c r="F21" s="6">
        <f t="shared" si="17"/>
        <v>2.0900000000000016</v>
      </c>
      <c r="G21" s="7">
        <v>99.7</v>
      </c>
      <c r="H21" s="8">
        <f t="shared" si="18"/>
        <v>3.1903999999999999</v>
      </c>
      <c r="I21" s="7">
        <v>65.459999999999994</v>
      </c>
      <c r="J21" s="8">
        <f t="shared" si="19"/>
        <v>2.0947199999999997</v>
      </c>
      <c r="K21" s="7">
        <f t="shared" si="15"/>
        <v>-34.240000000000009</v>
      </c>
      <c r="L21" s="7">
        <f t="shared" si="20"/>
        <v>-25.42</v>
      </c>
      <c r="M21" s="7">
        <f t="shared" si="16"/>
        <v>-0.17825615926406926</v>
      </c>
      <c r="N21" s="7">
        <f t="shared" si="21"/>
        <v>0.17825615926406926</v>
      </c>
    </row>
    <row r="22" spans="1:14">
      <c r="A22" s="5" t="s">
        <v>44</v>
      </c>
      <c r="B22" s="5">
        <v>0.46687782392450045</v>
      </c>
      <c r="C22" s="5">
        <v>55.829366146932706</v>
      </c>
      <c r="D22" s="6">
        <v>10.29</v>
      </c>
      <c r="E22" s="6">
        <v>12.38</v>
      </c>
      <c r="F22" s="6">
        <f t="shared" si="17"/>
        <v>2.0900000000000016</v>
      </c>
      <c r="G22" s="7">
        <v>99.65</v>
      </c>
      <c r="H22" s="8">
        <f t="shared" si="18"/>
        <v>3.1888000000000001</v>
      </c>
      <c r="I22" s="7">
        <v>53.07</v>
      </c>
      <c r="J22" s="8">
        <f t="shared" si="19"/>
        <v>1.69824</v>
      </c>
      <c r="K22" s="7">
        <f t="shared" si="15"/>
        <v>-46.580000000000005</v>
      </c>
      <c r="L22" s="7">
        <f t="shared" si="20"/>
        <v>-37.76</v>
      </c>
      <c r="M22" s="7">
        <f t="shared" si="16"/>
        <v>-0.15108670446031583</v>
      </c>
      <c r="N22" s="7">
        <f t="shared" si="21"/>
        <v>0.15108670446031583</v>
      </c>
    </row>
    <row r="23" spans="1:14">
      <c r="A23" s="5" t="s">
        <v>45</v>
      </c>
      <c r="B23" s="5">
        <v>0.46933779499699763</v>
      </c>
      <c r="C23" s="5">
        <v>38.058561751314677</v>
      </c>
      <c r="D23" s="6">
        <v>10.29</v>
      </c>
      <c r="E23" s="6">
        <v>12.38</v>
      </c>
      <c r="F23" s="6">
        <f t="shared" si="17"/>
        <v>2.0900000000000016</v>
      </c>
      <c r="G23" s="7">
        <v>99.62</v>
      </c>
      <c r="H23" s="8">
        <f t="shared" si="18"/>
        <v>3.18784</v>
      </c>
      <c r="I23" s="7">
        <v>55.5</v>
      </c>
      <c r="J23" s="8">
        <f t="shared" si="19"/>
        <v>1.776</v>
      </c>
      <c r="K23" s="7">
        <f t="shared" si="15"/>
        <v>-44.120000000000005</v>
      </c>
      <c r="L23" s="7">
        <f t="shared" si="20"/>
        <v>-35.299999999999997</v>
      </c>
      <c r="M23" s="7">
        <f t="shared" si="16"/>
        <v>-0.20828671753134825</v>
      </c>
      <c r="N23" s="7">
        <f t="shared" si="21"/>
        <v>0.20828671753134825</v>
      </c>
    </row>
    <row r="24" spans="1:14">
      <c r="A24" s="5" t="s">
        <v>46</v>
      </c>
      <c r="B24" s="5">
        <v>0.47001135850494336</v>
      </c>
      <c r="C24" s="5">
        <v>36.377539713891345</v>
      </c>
      <c r="D24" s="6">
        <v>10.29</v>
      </c>
      <c r="E24" s="6">
        <v>12.38</v>
      </c>
      <c r="F24" s="6">
        <f t="shared" si="17"/>
        <v>2.0900000000000016</v>
      </c>
      <c r="G24" s="7">
        <v>99.73</v>
      </c>
      <c r="H24" s="8">
        <f t="shared" si="18"/>
        <v>3.19136</v>
      </c>
      <c r="I24" s="7">
        <v>60</v>
      </c>
      <c r="J24" s="8">
        <f t="shared" si="19"/>
        <v>1.92</v>
      </c>
      <c r="K24" s="7">
        <f t="shared" si="15"/>
        <v>-39.730000000000004</v>
      </c>
      <c r="L24" s="7">
        <f t="shared" si="20"/>
        <v>-30.909999999999997</v>
      </c>
      <c r="M24" s="7">
        <f t="shared" si="16"/>
        <v>-0.19108550695182003</v>
      </c>
      <c r="N24" s="7">
        <f t="shared" si="21"/>
        <v>0.19108550695182003</v>
      </c>
    </row>
    <row r="25" spans="1:14">
      <c r="A25" s="11" t="s">
        <v>20</v>
      </c>
      <c r="B25" s="11">
        <v>0.47416011924229029</v>
      </c>
      <c r="C25" s="11" t="s">
        <v>27</v>
      </c>
      <c r="D25" s="11">
        <v>10.29</v>
      </c>
      <c r="E25" s="11">
        <v>12.38</v>
      </c>
      <c r="F25" s="13">
        <f t="shared" si="17"/>
        <v>2.0900000000000016</v>
      </c>
      <c r="G25" s="14">
        <v>99.28</v>
      </c>
      <c r="H25" s="8">
        <f t="shared" si="18"/>
        <v>3.1769600000000002</v>
      </c>
      <c r="I25" s="14">
        <v>90.46</v>
      </c>
      <c r="J25" s="8">
        <f t="shared" si="19"/>
        <v>2.89472</v>
      </c>
      <c r="K25" s="14">
        <f t="shared" si="15"/>
        <v>-8.8200000000000074</v>
      </c>
      <c r="L25" s="14" t="s">
        <v>27</v>
      </c>
      <c r="M25" s="14" t="s">
        <v>27</v>
      </c>
      <c r="N25" s="14"/>
    </row>
    <row r="27" spans="1:14">
      <c r="A27" s="5" t="s">
        <v>47</v>
      </c>
      <c r="B27" s="5">
        <v>0.46390884808954852</v>
      </c>
      <c r="C27" s="5">
        <v>77.442506628089731</v>
      </c>
      <c r="D27" s="6">
        <v>10.58</v>
      </c>
      <c r="E27" s="6">
        <v>13.19</v>
      </c>
      <c r="F27" s="6">
        <f>E27-D27</f>
        <v>2.6099999999999994</v>
      </c>
      <c r="G27" s="7">
        <v>96.9</v>
      </c>
      <c r="H27" s="8">
        <f>G27*32/1000</f>
        <v>3.1008</v>
      </c>
      <c r="I27" s="7">
        <v>12.5</v>
      </c>
      <c r="J27" s="8">
        <f>I27*32/1000</f>
        <v>0.4</v>
      </c>
      <c r="K27" s="7">
        <f t="shared" ref="K27:K33" si="22">(I27-G27)</f>
        <v>-84.4</v>
      </c>
      <c r="L27" s="7">
        <f>K27-$K$33</f>
        <v>-76.340000000000018</v>
      </c>
      <c r="M27" s="7">
        <f t="shared" ref="M27:M32" si="23">(L27*B27)/(F27*C27)</f>
        <v>-0.17521242584060995</v>
      </c>
      <c r="N27" s="7">
        <f>M27*-1</f>
        <v>0.17521242584060995</v>
      </c>
    </row>
    <row r="28" spans="1:14">
      <c r="A28" s="5" t="s">
        <v>48</v>
      </c>
      <c r="B28" s="5">
        <v>0.46883922135824802</v>
      </c>
      <c r="C28" s="5">
        <v>46.463671938431297</v>
      </c>
      <c r="D28" s="6">
        <v>10.58</v>
      </c>
      <c r="E28" s="6">
        <v>13.19</v>
      </c>
      <c r="F28" s="6">
        <f t="shared" ref="F28:F33" si="24">E28-D28</f>
        <v>2.6099999999999994</v>
      </c>
      <c r="G28" s="7">
        <v>96.46</v>
      </c>
      <c r="H28" s="8">
        <f t="shared" ref="H28:H33" si="25">G28*32/1000</f>
        <v>3.0867199999999997</v>
      </c>
      <c r="I28" s="7">
        <v>42.63</v>
      </c>
      <c r="J28" s="8">
        <f t="shared" ref="J28:J33" si="26">I28*32/1000</f>
        <v>1.36416</v>
      </c>
      <c r="K28" s="7">
        <f t="shared" si="22"/>
        <v>-53.829999999999991</v>
      </c>
      <c r="L28" s="7">
        <f t="shared" ref="L28:L32" si="27">K28-$K$33</f>
        <v>-45.77</v>
      </c>
      <c r="M28" s="7">
        <f t="shared" si="23"/>
        <v>-0.17695010015122847</v>
      </c>
      <c r="N28" s="7">
        <f t="shared" ref="N28:N32" si="28">M28*-1</f>
        <v>0.17695010015122847</v>
      </c>
    </row>
    <row r="29" spans="1:14">
      <c r="A29" s="5" t="s">
        <v>49</v>
      </c>
      <c r="B29" s="5">
        <v>0.4700010320888921</v>
      </c>
      <c r="C29" s="5">
        <v>37.097977729929895</v>
      </c>
      <c r="D29" s="6">
        <v>10.58</v>
      </c>
      <c r="E29" s="6">
        <v>13.19</v>
      </c>
      <c r="F29" s="6">
        <f t="shared" si="24"/>
        <v>2.6099999999999994</v>
      </c>
      <c r="G29" s="7">
        <v>96.39</v>
      </c>
      <c r="H29" s="8">
        <f t="shared" si="25"/>
        <v>3.0844800000000001</v>
      </c>
      <c r="I29" s="7">
        <v>45.7</v>
      </c>
      <c r="J29" s="8">
        <f t="shared" si="26"/>
        <v>1.4624000000000001</v>
      </c>
      <c r="K29" s="7">
        <f t="shared" si="22"/>
        <v>-50.69</v>
      </c>
      <c r="L29" s="7">
        <f t="shared" si="27"/>
        <v>-42.63000000000001</v>
      </c>
      <c r="M29" s="7">
        <f t="shared" si="23"/>
        <v>-0.20692997284121992</v>
      </c>
      <c r="N29" s="7">
        <f t="shared" si="28"/>
        <v>0.20692997284121992</v>
      </c>
    </row>
    <row r="30" spans="1:14">
      <c r="A30" s="5" t="s">
        <v>50</v>
      </c>
      <c r="B30" s="5">
        <v>0.46877087955056318</v>
      </c>
      <c r="C30" s="5">
        <v>44.062211884969415</v>
      </c>
      <c r="D30" s="6">
        <v>10.58</v>
      </c>
      <c r="E30" s="6">
        <v>13.19</v>
      </c>
      <c r="F30" s="6">
        <f t="shared" si="24"/>
        <v>2.6099999999999994</v>
      </c>
      <c r="G30" s="7">
        <v>98.25</v>
      </c>
      <c r="H30" s="8">
        <f t="shared" si="25"/>
        <v>3.1440000000000001</v>
      </c>
      <c r="I30" s="7">
        <v>50.33</v>
      </c>
      <c r="J30" s="8">
        <f t="shared" si="26"/>
        <v>1.61056</v>
      </c>
      <c r="K30" s="7">
        <f t="shared" si="22"/>
        <v>-47.92</v>
      </c>
      <c r="L30" s="7">
        <f t="shared" si="27"/>
        <v>-39.860000000000014</v>
      </c>
      <c r="M30" s="7">
        <f t="shared" si="23"/>
        <v>-0.16247671042121251</v>
      </c>
      <c r="N30" s="7">
        <f t="shared" si="28"/>
        <v>0.16247671042121251</v>
      </c>
    </row>
    <row r="31" spans="1:14">
      <c r="A31" s="5" t="s">
        <v>51</v>
      </c>
      <c r="B31" s="5">
        <v>0.46601768101239838</v>
      </c>
      <c r="C31" s="5">
        <v>51.746884056047527</v>
      </c>
      <c r="D31" s="6">
        <v>10.58</v>
      </c>
      <c r="E31" s="6">
        <v>13.19</v>
      </c>
      <c r="F31" s="6">
        <f t="shared" si="24"/>
        <v>2.6099999999999994</v>
      </c>
      <c r="G31" s="7">
        <v>99.21</v>
      </c>
      <c r="H31" s="8">
        <f t="shared" si="25"/>
        <v>3.1747199999999998</v>
      </c>
      <c r="I31" s="7">
        <v>56.43</v>
      </c>
      <c r="J31" s="8">
        <f t="shared" si="26"/>
        <v>1.80576</v>
      </c>
      <c r="K31" s="7">
        <f t="shared" si="22"/>
        <v>-42.779999999999994</v>
      </c>
      <c r="L31" s="7">
        <f t="shared" si="27"/>
        <v>-34.720000000000006</v>
      </c>
      <c r="M31" s="7">
        <f t="shared" si="23"/>
        <v>-0.11980016046183298</v>
      </c>
      <c r="N31" s="7">
        <f t="shared" si="28"/>
        <v>0.11980016046183298</v>
      </c>
    </row>
    <row r="32" spans="1:14">
      <c r="A32" s="5" t="s">
        <v>52</v>
      </c>
      <c r="B32" s="5">
        <v>0.46554905147398723</v>
      </c>
      <c r="C32" s="5">
        <v>69.997980462357802</v>
      </c>
      <c r="D32" s="6">
        <v>10.58</v>
      </c>
      <c r="E32" s="6">
        <v>13.19</v>
      </c>
      <c r="F32" s="6">
        <f t="shared" si="24"/>
        <v>2.6099999999999994</v>
      </c>
      <c r="G32" s="7">
        <v>96.72</v>
      </c>
      <c r="H32" s="8">
        <f t="shared" si="25"/>
        <v>3.09504</v>
      </c>
      <c r="I32" s="7">
        <v>35.47</v>
      </c>
      <c r="J32" s="8">
        <f t="shared" si="26"/>
        <v>1.13504</v>
      </c>
      <c r="K32" s="7">
        <f t="shared" si="22"/>
        <v>-61.25</v>
      </c>
      <c r="L32" s="7">
        <f t="shared" si="27"/>
        <v>-53.190000000000012</v>
      </c>
      <c r="M32" s="7">
        <f t="shared" si="23"/>
        <v>-0.13554060471545387</v>
      </c>
      <c r="N32" s="7">
        <f t="shared" si="28"/>
        <v>0.13554060471545387</v>
      </c>
    </row>
    <row r="33" spans="1:14">
      <c r="A33" s="11" t="s">
        <v>20</v>
      </c>
      <c r="B33" s="11">
        <v>0.47416011924229029</v>
      </c>
      <c r="C33" s="11" t="s">
        <v>27</v>
      </c>
      <c r="D33" s="11">
        <v>10.58</v>
      </c>
      <c r="E33" s="11">
        <v>13.19</v>
      </c>
      <c r="F33" s="13">
        <f t="shared" si="24"/>
        <v>2.6099999999999994</v>
      </c>
      <c r="G33" s="14">
        <v>98.57</v>
      </c>
      <c r="H33" s="8">
        <f t="shared" si="25"/>
        <v>3.1542399999999997</v>
      </c>
      <c r="I33" s="14">
        <v>90.51</v>
      </c>
      <c r="J33" s="8">
        <f t="shared" si="26"/>
        <v>2.8963200000000002</v>
      </c>
      <c r="K33" s="14">
        <f t="shared" si="22"/>
        <v>-8.0599999999999881</v>
      </c>
      <c r="L33" s="14" t="s">
        <v>27</v>
      </c>
      <c r="M33" s="14" t="s">
        <v>27</v>
      </c>
      <c r="N33" s="14"/>
    </row>
  </sheetData>
  <mergeCells count="6">
    <mergeCell ref="G1:K1"/>
    <mergeCell ref="L1:L2"/>
    <mergeCell ref="A1:A2"/>
    <mergeCell ref="B1:B2"/>
    <mergeCell ref="C1:C2"/>
    <mergeCell ref="F1:F2"/>
  </mergeCells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EDC1C-23D2-4EF8-A694-3C7C110BA59D}">
  <dimension ref="A1:I33"/>
  <sheetViews>
    <sheetView zoomScale="90" zoomScaleNormal="90" workbookViewId="0">
      <selection activeCell="K27" sqref="K27"/>
    </sheetView>
  </sheetViews>
  <sheetFormatPr defaultColWidth="8.85546875" defaultRowHeight="15"/>
  <cols>
    <col min="1" max="1" width="19.28515625" bestFit="1" customWidth="1"/>
    <col min="2" max="2" width="15.140625" bestFit="1" customWidth="1"/>
    <col min="3" max="3" width="13.85546875" bestFit="1" customWidth="1"/>
    <col min="4" max="4" width="13.85546875" customWidth="1"/>
    <col min="5" max="5" width="15.140625" bestFit="1" customWidth="1"/>
    <col min="8" max="8" width="14.5703125" customWidth="1"/>
    <col min="9" max="9" width="11.7109375" customWidth="1"/>
  </cols>
  <sheetData>
    <row r="1" spans="1:9" ht="15.75">
      <c r="A1" s="36" t="s">
        <v>16</v>
      </c>
      <c r="B1" s="29" t="s">
        <v>60</v>
      </c>
      <c r="C1" s="29"/>
      <c r="D1" s="29"/>
      <c r="E1" s="29"/>
    </row>
    <row r="2" spans="1:9" ht="18.75">
      <c r="A2" s="37"/>
      <c r="B2" s="30" t="s">
        <v>62</v>
      </c>
      <c r="C2" s="30" t="s">
        <v>65</v>
      </c>
      <c r="D2" s="30" t="s">
        <v>66</v>
      </c>
      <c r="E2" s="30" t="s">
        <v>63</v>
      </c>
      <c r="H2" s="4" t="s">
        <v>71</v>
      </c>
      <c r="I2" s="4" t="s">
        <v>77</v>
      </c>
    </row>
    <row r="3" spans="1:9">
      <c r="A3" s="5" t="s">
        <v>19</v>
      </c>
      <c r="B3" s="31">
        <v>0.98751444428455293</v>
      </c>
      <c r="C3" s="31">
        <v>-0.31072445658691761</v>
      </c>
      <c r="D3" s="31">
        <f>C3*-1</f>
        <v>0.31072445658691761</v>
      </c>
      <c r="E3" s="31">
        <f>B3+D3</f>
        <v>1.2982389008714705</v>
      </c>
      <c r="H3" s="54" t="s">
        <v>69</v>
      </c>
      <c r="I3" s="10">
        <f>E25/D25</f>
        <v>7.6124188593805142</v>
      </c>
    </row>
    <row r="4" spans="1:9">
      <c r="A4" s="5" t="s">
        <v>30</v>
      </c>
      <c r="B4" s="31">
        <v>1.006268575701784</v>
      </c>
      <c r="C4" s="31">
        <v>-0.45501683022580763</v>
      </c>
      <c r="D4" s="31">
        <f t="shared" ref="D4:D8" si="0">C4*-1</f>
        <v>0.45501683022580763</v>
      </c>
      <c r="E4" s="31">
        <f t="shared" ref="E4:E8" si="1">B4+D4</f>
        <v>1.4612854059275917</v>
      </c>
      <c r="H4" s="54" t="s">
        <v>67</v>
      </c>
      <c r="I4" s="10">
        <f>E9/D9</f>
        <v>3.6540666811648208</v>
      </c>
    </row>
    <row r="5" spans="1:9">
      <c r="A5" s="5" t="s">
        <v>31</v>
      </c>
      <c r="B5" s="31">
        <v>1.0936241525457531</v>
      </c>
      <c r="C5" s="31">
        <v>-0.40813166359937453</v>
      </c>
      <c r="D5" s="31">
        <f t="shared" si="0"/>
        <v>0.40813166359937453</v>
      </c>
      <c r="E5" s="31">
        <f t="shared" si="1"/>
        <v>1.5017558161451277</v>
      </c>
      <c r="H5" s="54" t="s">
        <v>70</v>
      </c>
      <c r="I5" s="10">
        <f>E33/D33</f>
        <v>7.9756118679978592</v>
      </c>
    </row>
    <row r="6" spans="1:9">
      <c r="A6" s="5" t="s">
        <v>32</v>
      </c>
      <c r="B6" s="31">
        <v>0.90023176418652573</v>
      </c>
      <c r="C6" s="31">
        <v>-0.28760129047843702</v>
      </c>
      <c r="D6" s="31">
        <f t="shared" si="0"/>
        <v>0.28760129047843702</v>
      </c>
      <c r="E6" s="31">
        <f t="shared" si="1"/>
        <v>1.1878330546649627</v>
      </c>
      <c r="H6" s="54" t="s">
        <v>68</v>
      </c>
      <c r="I6" s="10">
        <f>E17/D17</f>
        <v>5.1273210344267683</v>
      </c>
    </row>
    <row r="7" spans="1:9">
      <c r="A7" s="5" t="s">
        <v>33</v>
      </c>
      <c r="B7" s="31">
        <v>0.5037059437734287</v>
      </c>
      <c r="C7" s="31">
        <v>-0.20087661201084586</v>
      </c>
      <c r="D7" s="31">
        <f t="shared" si="0"/>
        <v>0.20087661201084586</v>
      </c>
      <c r="E7" s="31">
        <f t="shared" si="1"/>
        <v>0.70458255578427453</v>
      </c>
    </row>
    <row r="8" spans="1:9" ht="16.5" customHeight="1">
      <c r="A8" s="5" t="s">
        <v>34</v>
      </c>
      <c r="B8" s="31">
        <v>0.5067275059534776</v>
      </c>
      <c r="C8" s="31">
        <v>-0.22082428430050607</v>
      </c>
      <c r="D8" s="31">
        <f t="shared" si="0"/>
        <v>0.22082428430050607</v>
      </c>
      <c r="E8" s="31">
        <f t="shared" si="1"/>
        <v>0.72755179025398364</v>
      </c>
    </row>
    <row r="9" spans="1:9">
      <c r="A9" s="11" t="s">
        <v>57</v>
      </c>
      <c r="B9" s="32">
        <f>AVERAGE(B3:B8)</f>
        <v>0.83301206440758702</v>
      </c>
      <c r="C9" s="32">
        <f>AVERAGE(C3:C8)</f>
        <v>-0.31386252286698146</v>
      </c>
      <c r="D9" s="32">
        <f>AVERAGE(D3:D8)</f>
        <v>0.31386252286698146</v>
      </c>
      <c r="E9" s="32">
        <f t="shared" ref="E9" si="2">AVERAGE(E3:E8)</f>
        <v>1.1468745872745687</v>
      </c>
    </row>
    <row r="10" spans="1:9">
      <c r="B10" s="33"/>
      <c r="C10" s="33"/>
      <c r="D10" s="33"/>
      <c r="E10" s="33"/>
    </row>
    <row r="11" spans="1:9">
      <c r="A11" s="5" t="s">
        <v>35</v>
      </c>
      <c r="B11" s="31">
        <v>0.63219071180226993</v>
      </c>
      <c r="C11" s="31">
        <v>-0.14270332716981032</v>
      </c>
      <c r="D11" s="31">
        <f>C11*-1</f>
        <v>0.14270332716981032</v>
      </c>
      <c r="E11" s="31">
        <f>B11+D11</f>
        <v>0.7748940389720802</v>
      </c>
    </row>
    <row r="12" spans="1:9">
      <c r="A12" s="5" t="s">
        <v>36</v>
      </c>
      <c r="B12" s="31">
        <v>1.1146418897372032</v>
      </c>
      <c r="C12" s="31">
        <v>-0.25893094739793859</v>
      </c>
      <c r="D12" s="31">
        <f t="shared" ref="D12:D16" si="3">C12*-1</f>
        <v>0.25893094739793859</v>
      </c>
      <c r="E12" s="31">
        <f t="shared" ref="E12:E16" si="4">B12+D12</f>
        <v>1.3735728371351419</v>
      </c>
    </row>
    <row r="13" spans="1:9">
      <c r="A13" s="5" t="s">
        <v>37</v>
      </c>
      <c r="B13" s="31">
        <v>0.98670451631919109</v>
      </c>
      <c r="C13" s="31">
        <v>-0.20548114880305787</v>
      </c>
      <c r="D13" s="31">
        <f t="shared" si="3"/>
        <v>0.20548114880305787</v>
      </c>
      <c r="E13" s="31">
        <f t="shared" si="4"/>
        <v>1.1921856651222489</v>
      </c>
    </row>
    <row r="14" spans="1:9">
      <c r="A14" s="5" t="s">
        <v>38</v>
      </c>
      <c r="B14" s="31">
        <v>0.82920907689022783</v>
      </c>
      <c r="C14" s="31">
        <v>-0.24811246009747501</v>
      </c>
      <c r="D14" s="31">
        <f t="shared" si="3"/>
        <v>0.24811246009747501</v>
      </c>
      <c r="E14" s="31">
        <f t="shared" si="4"/>
        <v>1.0773215369877027</v>
      </c>
    </row>
    <row r="15" spans="1:9">
      <c r="A15" s="5" t="s">
        <v>39</v>
      </c>
      <c r="B15" s="31">
        <v>0.82589972499063846</v>
      </c>
      <c r="C15" s="31">
        <v>-0.22117875691183064</v>
      </c>
      <c r="D15" s="31">
        <f t="shared" si="3"/>
        <v>0.22117875691183064</v>
      </c>
      <c r="E15" s="31">
        <f t="shared" si="4"/>
        <v>1.047078481902469</v>
      </c>
    </row>
    <row r="16" spans="1:9">
      <c r="A16" s="5" t="s">
        <v>40</v>
      </c>
      <c r="B16" s="31">
        <v>1.2532425278410735</v>
      </c>
      <c r="C16" s="31">
        <v>-0.29055473735632764</v>
      </c>
      <c r="D16" s="31">
        <f t="shared" si="3"/>
        <v>0.29055473735632764</v>
      </c>
      <c r="E16" s="31">
        <f t="shared" si="4"/>
        <v>1.543797265197401</v>
      </c>
    </row>
    <row r="17" spans="1:5">
      <c r="A17" s="11" t="s">
        <v>57</v>
      </c>
      <c r="B17" s="32">
        <f>AVERAGE(B11:B16)</f>
        <v>0.94031474126343406</v>
      </c>
      <c r="C17" s="32">
        <f>AVERAGE(C11:C16)</f>
        <v>-0.22782689628940669</v>
      </c>
      <c r="D17" s="32">
        <f>AVERAGE(D11:D16)</f>
        <v>0.22782689628940669</v>
      </c>
      <c r="E17" s="32">
        <f t="shared" ref="E17" si="5">AVERAGE(E11:E16)</f>
        <v>1.1681416375528408</v>
      </c>
    </row>
    <row r="18" spans="1:5">
      <c r="B18" s="33"/>
      <c r="C18" s="33"/>
      <c r="D18" s="33"/>
      <c r="E18" s="33"/>
    </row>
    <row r="19" spans="1:5">
      <c r="A19" s="5" t="s">
        <v>41</v>
      </c>
      <c r="B19" s="31">
        <v>0.91241335884196761</v>
      </c>
      <c r="C19" s="31">
        <v>-0.13578543932693832</v>
      </c>
      <c r="D19" s="31">
        <f>C19*-1</f>
        <v>0.13578543932693832</v>
      </c>
      <c r="E19" s="31">
        <f>B19+D19</f>
        <v>1.0481987981689058</v>
      </c>
    </row>
    <row r="20" spans="1:5">
      <c r="A20" s="5" t="s">
        <v>42</v>
      </c>
      <c r="B20" s="31">
        <v>0.63164265486855031</v>
      </c>
      <c r="C20" s="31">
        <v>-0.11102790370743386</v>
      </c>
      <c r="D20" s="31">
        <f t="shared" ref="D20:D24" si="6">C20*-1</f>
        <v>0.11102790370743386</v>
      </c>
      <c r="E20" s="31">
        <f t="shared" ref="E20:E24" si="7">B20+D20</f>
        <v>0.74267055857598419</v>
      </c>
    </row>
    <row r="21" spans="1:5">
      <c r="A21" s="5" t="s">
        <v>43</v>
      </c>
      <c r="B21" s="31">
        <v>1.2525053246992208</v>
      </c>
      <c r="C21" s="31">
        <v>-0.17825615926406926</v>
      </c>
      <c r="D21" s="31">
        <f t="shared" si="6"/>
        <v>0.17825615926406926</v>
      </c>
      <c r="E21" s="31">
        <f t="shared" si="7"/>
        <v>1.4307614839632901</v>
      </c>
    </row>
    <row r="22" spans="1:5">
      <c r="A22" s="5" t="s">
        <v>44</v>
      </c>
      <c r="B22" s="31">
        <v>0.98967671439494198</v>
      </c>
      <c r="C22" s="31">
        <v>-0.15108670446031583</v>
      </c>
      <c r="D22" s="31">
        <f t="shared" si="6"/>
        <v>0.15108670446031583</v>
      </c>
      <c r="E22" s="31">
        <f t="shared" si="7"/>
        <v>1.1407634188552578</v>
      </c>
    </row>
    <row r="23" spans="1:5">
      <c r="A23" s="5" t="s">
        <v>45</v>
      </c>
      <c r="B23" s="31">
        <v>1.3339172174269569</v>
      </c>
      <c r="C23" s="31">
        <v>-0.20828671753134825</v>
      </c>
      <c r="D23" s="31">
        <f t="shared" si="6"/>
        <v>0.20828671753134825</v>
      </c>
      <c r="E23" s="31">
        <f t="shared" si="7"/>
        <v>1.5422039349583052</v>
      </c>
    </row>
    <row r="24" spans="1:5">
      <c r="A24" s="5" t="s">
        <v>46</v>
      </c>
      <c r="B24" s="31">
        <v>1.330447326374357</v>
      </c>
      <c r="C24" s="31">
        <v>-0.19108550695182003</v>
      </c>
      <c r="D24" s="31">
        <f t="shared" si="6"/>
        <v>0.19108550695182003</v>
      </c>
      <c r="E24" s="31">
        <f t="shared" si="7"/>
        <v>1.5215328333261771</v>
      </c>
    </row>
    <row r="25" spans="1:5">
      <c r="A25" s="11" t="s">
        <v>57</v>
      </c>
      <c r="B25" s="32">
        <f>AVERAGE(B19:B24)</f>
        <v>1.0751004327676659</v>
      </c>
      <c r="C25" s="32">
        <f>AVERAGE(C19:C24)</f>
        <v>-0.16258807187365423</v>
      </c>
      <c r="D25" s="32">
        <f>AVERAGE(D19:D24)</f>
        <v>0.16258807187365423</v>
      </c>
      <c r="E25" s="32">
        <f t="shared" ref="E25" si="8">AVERAGE(E19:E24)</f>
        <v>1.23768850464132</v>
      </c>
    </row>
    <row r="26" spans="1:5">
      <c r="B26" s="33"/>
      <c r="C26" s="33"/>
      <c r="D26" s="33"/>
      <c r="E26" s="33"/>
    </row>
    <row r="27" spans="1:5">
      <c r="A27" s="5" t="s">
        <v>47</v>
      </c>
      <c r="B27" s="31">
        <v>1.0802328771410128</v>
      </c>
      <c r="C27" s="31">
        <v>-0.17521242584060995</v>
      </c>
      <c r="D27" s="31">
        <f>C27*-1</f>
        <v>0.17521242584060995</v>
      </c>
      <c r="E27" s="31">
        <f>B27+D27</f>
        <v>1.2554453029816228</v>
      </c>
    </row>
    <row r="28" spans="1:5">
      <c r="A28" s="5" t="s">
        <v>48</v>
      </c>
      <c r="B28" s="31">
        <v>1.1077401946921033</v>
      </c>
      <c r="C28" s="31">
        <v>-0.17695010015122847</v>
      </c>
      <c r="D28" s="31">
        <f t="shared" ref="D28:D32" si="9">C28*-1</f>
        <v>0.17695010015122847</v>
      </c>
      <c r="E28" s="31">
        <f t="shared" ref="E28:E32" si="10">B28+D28</f>
        <v>1.2846902948433319</v>
      </c>
    </row>
    <row r="29" spans="1:5">
      <c r="A29" s="5" t="s">
        <v>49</v>
      </c>
      <c r="B29" s="31">
        <v>1.2920449327380903</v>
      </c>
      <c r="C29" s="31">
        <v>-0.20692997284121992</v>
      </c>
      <c r="D29" s="31">
        <f t="shared" si="9"/>
        <v>0.20692997284121992</v>
      </c>
      <c r="E29" s="31">
        <f t="shared" si="10"/>
        <v>1.4989749055793102</v>
      </c>
    </row>
    <row r="30" spans="1:5">
      <c r="A30" s="5" t="s">
        <v>50</v>
      </c>
      <c r="B30" s="31">
        <v>1.4166915132133977</v>
      </c>
      <c r="C30" s="31">
        <v>-0.16247671042121251</v>
      </c>
      <c r="D30" s="31">
        <f t="shared" si="9"/>
        <v>0.16247671042121251</v>
      </c>
      <c r="E30" s="31">
        <f t="shared" si="10"/>
        <v>1.5791682236346103</v>
      </c>
    </row>
    <row r="31" spans="1:5">
      <c r="A31" s="5" t="s">
        <v>51</v>
      </c>
      <c r="B31" s="31">
        <v>0.85746822729967165</v>
      </c>
      <c r="C31" s="31">
        <v>-0.11980016046183298</v>
      </c>
      <c r="D31" s="31">
        <f t="shared" si="9"/>
        <v>0.11980016046183298</v>
      </c>
      <c r="E31" s="31">
        <f t="shared" si="10"/>
        <v>0.9772683877615046</v>
      </c>
    </row>
    <row r="32" spans="1:5">
      <c r="A32" s="5" t="s">
        <v>52</v>
      </c>
      <c r="B32" s="31">
        <v>1.0603670665259832</v>
      </c>
      <c r="C32" s="31">
        <v>-0.13554060471545387</v>
      </c>
      <c r="D32" s="31">
        <f t="shared" si="9"/>
        <v>0.13554060471545387</v>
      </c>
      <c r="E32" s="31">
        <f t="shared" si="10"/>
        <v>1.1959076712414372</v>
      </c>
    </row>
    <row r="33" spans="1:5">
      <c r="A33" s="11" t="s">
        <v>57</v>
      </c>
      <c r="B33" s="32">
        <f>AVERAGE(B27:B32)</f>
        <v>1.1357574686017098</v>
      </c>
      <c r="C33" s="32">
        <f>AVERAGE(C27:C32)</f>
        <v>-0.16281832907192628</v>
      </c>
      <c r="D33" s="32">
        <f>AVERAGE(D27:D32)</f>
        <v>0.16281832907192628</v>
      </c>
      <c r="E33" s="32">
        <f t="shared" ref="E33" si="11">AVERAGE(E27:E32)</f>
        <v>1.2985757976736361</v>
      </c>
    </row>
  </sheetData>
  <mergeCells count="1">
    <mergeCell ref="A1:A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M-R (Mangrove to Reef)</vt:lpstr>
      <vt:lpstr>WM (Wild Mangrove)</vt:lpstr>
      <vt:lpstr>R-R (Reef to Reef)</vt:lpstr>
      <vt:lpstr>WR (Wild Reef)</vt:lpstr>
      <vt:lpstr>PN (Light)</vt:lpstr>
      <vt:lpstr>R (Dark)</vt:lpstr>
      <vt:lpstr>PG</vt:lpstr>
    </vt:vector>
  </TitlesOfParts>
  <Manager/>
  <Company>University of Technology Sydney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APG</dc:creator>
  <cp:keywords/>
  <dc:description/>
  <cp:lastModifiedBy>Nicole Dilernia</cp:lastModifiedBy>
  <cp:revision/>
  <dcterms:created xsi:type="dcterms:W3CDTF">2023-02-19T23:55:38Z</dcterms:created>
  <dcterms:modified xsi:type="dcterms:W3CDTF">2024-11-11T05:12:48Z</dcterms:modified>
  <cp:category/>
  <cp:contentStatus/>
</cp:coreProperties>
</file>